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eae40e95a14c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" sheetId="1" r:id="Rafcbc6732cd94bab"/>
    <x:sheet xmlns:r="http://schemas.openxmlformats.org/officeDocument/2006/relationships" name="Parametros" sheetId="2" r:id="Rc7fb96f3afa048ae"/>
    <x:sheet xmlns:r="http://schemas.openxmlformats.org/officeDocument/2006/relationships" name="Alunos_Restrito" sheetId="3" r:id="R183001b4e03a4170"/>
    <x:sheet xmlns:r="http://schemas.openxmlformats.org/officeDocument/2006/relationships" name="Habilidades_Itens" sheetId="4" r:id="R618bde7883f2492c"/>
    <x:sheet xmlns:r="http://schemas.openxmlformats.org/officeDocument/2006/relationships" name="Pares" sheetId="5" r:id="R1e3428bf3b63482b"/>
    <x:sheet xmlns:r="http://schemas.openxmlformats.org/officeDocument/2006/relationships" name="Metas" sheetId="6" r:id="R450d38a958da482d"/>
    <x:sheet xmlns:r="http://schemas.openxmlformats.org/officeDocument/2006/relationships" name="Prioridades" sheetId="7" r:id="R7508dff959394492"/>
    <x:sheet xmlns:r="http://schemas.openxmlformats.org/officeDocument/2006/relationships" name="Cenarios" sheetId="8" r:id="R9a4695f8f3b64f4a"/>
    <x:sheet xmlns:r="http://schemas.openxmlformats.org/officeDocument/2006/relationships" name="Resumo_Habilidades" sheetId="9" r:id="R7a765c23e8804775"/>
    <x:sheet xmlns:r="http://schemas.openxmlformats.org/officeDocument/2006/relationships" name="Indicadores_Oficiais" sheetId="10" r:id="R2be06c197bdc4e74"/>
    <x:sheet xmlns:r="http://schemas.openxmlformats.org/officeDocument/2006/relationships" name="Dicionario" sheetId="11" r:id="R5feb6a997247495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%"/>
    <x:numFmt numFmtId="201" formatCode="0.0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5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84199c53104fbd" /><Relationship Type="http://schemas.openxmlformats.org/officeDocument/2006/relationships/theme" Target="/xl/theme/theme1.xml" Id="R72c468fcaa8c4395" /><Relationship Type="http://schemas.openxmlformats.org/officeDocument/2006/relationships/sharedStrings" Target="/xl/sharedStrings.xml" Id="R3dcbcd81da26409a" /><Relationship Type="http://schemas.openxmlformats.org/officeDocument/2006/relationships/worksheet" Target="/xl/worksheets/sheet1.xml" Id="Rafcbc6732cd94bab" /><Relationship Type="http://schemas.openxmlformats.org/officeDocument/2006/relationships/worksheet" Target="/xl/worksheets/sheet2.xml" Id="Rc7fb96f3afa048ae" /><Relationship Type="http://schemas.openxmlformats.org/officeDocument/2006/relationships/worksheet" Target="/xl/worksheets/sheet3.xml" Id="R183001b4e03a4170" /><Relationship Type="http://schemas.openxmlformats.org/officeDocument/2006/relationships/worksheet" Target="/xl/worksheets/sheet4.xml" Id="R618bde7883f2492c" /><Relationship Type="http://schemas.openxmlformats.org/officeDocument/2006/relationships/worksheet" Target="/xl/worksheets/sheet5.xml" Id="R1e3428bf3b63482b" /><Relationship Type="http://schemas.openxmlformats.org/officeDocument/2006/relationships/worksheet" Target="/xl/worksheets/sheet6.xml" Id="R450d38a958da482d" /><Relationship Type="http://schemas.openxmlformats.org/officeDocument/2006/relationships/worksheet" Target="/xl/worksheets/sheet7.xml" Id="R7508dff959394492" /><Relationship Type="http://schemas.openxmlformats.org/officeDocument/2006/relationships/worksheet" Target="/xl/worksheets/sheet8.xml" Id="R9a4695f8f3b64f4a" /><Relationship Type="http://schemas.openxmlformats.org/officeDocument/2006/relationships/worksheet" Target="/xl/worksheets/sheet9.xml" Id="R7a765c23e8804775" /><Relationship Type="http://schemas.openxmlformats.org/officeDocument/2006/relationships/worksheet" Target="/xl/worksheets/sheet10.xml" Id="R2be06c197bdc4e74" /><Relationship Type="http://schemas.openxmlformats.org/officeDocument/2006/relationships/worksheet" Target="/xl/worksheets/sheet11.xml" Id="R5feb6a997247495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8" hidden="0" customWidth="1"/>
  </x:cols>
  <x:sheetData>
    <x:row r="1" ht="48" customHeight="1">
      <x:c r="A1" s="12" t="str">
        <x:v>DATASET AUDITÁVEL • CAEd 2026 • ESCOLA AIRAM VERAS</x:v>
      </x:c>
    </x:row>
    <x:row r="3" ht="28" customHeight="1">
      <x:c r="A3" s="8" t="str">
        <x:v>Conteúdo</x:v>
      </x:c>
      <x:c r="B3" s="8" t="str">
        <x:v>Descrição</x:v>
      </x:c>
    </x:row>
    <x:row r="4">
      <x:c r="A4" t="str">
        <x:v>Origem</x:v>
      </x:c>
      <x:c r="B4" t="str">
        <x:v>4 arquivos ZIP CAEd fornecidos pelo usuário; 12 CSVs em seus interiores</x:v>
      </x:c>
    </x:row>
    <x:row r="5">
      <x:c r="A5" t="str">
        <x:v>Abrangência</x:v>
      </x:c>
      <x:c r="B5" t="str">
        <x:v>Língua Portuguesa, 1º e 2º ano</x:v>
      </x:c>
    </x:row>
    <x:row r="6">
      <x:c r="A6" t="str">
        <x:v>Unidade observacional</x:v>
      </x:c>
      <x:c r="B6" t="str">
        <x:v>Aluno × instrumento (102 observações; 53 estudantes distintos)</x:v>
      </x:c>
    </x:row>
    <x:row r="7">
      <x:c r="A7" t="str">
        <x:v>Habilidades</x:v>
      </x:c>
      <x:c r="B7" t="str">
        <x:v>1054 registros de habilidade, em quatro matrizes de avaliação</x:v>
      </x:c>
    </x:row>
    <x:row r="8">
      <x:c r="A8" t="str">
        <x:v>Pareamento</x:v>
      </x:c>
      <x:c r="B8" t="str">
        <x:v>24 pares no 1º ano; 25 pares no 2º ano</x:v>
      </x:c>
    </x:row>
    <x:row r="9">
      <x:c r="A9" t="str">
        <x:v>Aplicações</x:v>
      </x:c>
      <x:c r="B9" t="str">
        <x:v>Referência e contraprova são HIPÓTESES analíticas; ausência de rótulo explícito nos arquivos.</x:v>
      </x:c>
    </x:row>
    <x:row r="10">
      <x:c r="A10" t="str">
        <x:v>Cortes</x:v>
      </x:c>
      <x:c r="B10" t="str">
        <x:v>Mínimos observados entre classificados Adequado; não são cortes oficiais publicados.</x:v>
      </x:c>
    </x:row>
    <x:row r="11">
      <x:c r="A11" t="str">
        <x:v>Projeções</x:v>
      </x:c>
      <x:c r="B11" t="str">
        <x:v>Cenários determinísticos +k acertos, NÃO probabilidades calibradas.</x:v>
      </x:c>
    </x:row>
    <x:row r="12">
      <x:c r="A12" t="str">
        <x:v>Equivalência de habilidades</x:v>
      </x:c>
      <x:c r="B12" t="str">
        <x:v>H01, H02 etc. só devem ser comparadas dentro da mesma forma sem matriz de equivalência.</x:v>
      </x:c>
    </x:row>
    <x:row r="13">
      <x:c r="A13" t="str">
        <x:v>Confidencialidade</x:v>
      </x:c>
      <x:c r="B13" t="str">
        <x:v>Este Excel contém nomes de crianças. Acesso restrito à equipe escolar autorizada.</x:v>
      </x:c>
    </x:row>
    <x:row r="15" ht="29" customHeight="1">
      <x:c r="A15" t="str">
        <x:v>FLUXO DE AUDITORIA: originais ZIP → indicadores oficiais → respostas individuais → escores → pares → metas → cenários.</x:v>
      </x:c>
    </x:row>
  </x:sheetData>
  <x:mergeCells>
    <x:mergeCell ref="A1:F1"/>
    <x:mergeCell ref="A15:F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3" hidden="0" customWidth="1"/>
    <x:col min="3" max="3" width="14" hidden="0" customWidth="1"/>
    <x:col min="4" max="4" width="54" hidden="0" customWidth="1"/>
  </x:cols>
  <x:sheetData>
    <x:row r="1" ht="42" customHeight="1">
      <x:c r="A1" s="14" t="str">
        <x:v>PREMISSAS E PARÂMETROS — ALTERAR SOMENTE COM JUSTIFICATIVA</x:v>
      </x:c>
    </x:row>
    <x:row r="3" ht="28" customHeight="1">
      <x:c r="A3" s="8" t="str">
        <x:v>Ano e aplicação</x:v>
      </x:c>
      <x:c r="B3" s="8" t="str">
        <x:v>Corte empírico</x:v>
      </x:c>
      <x:c r="C3" s="8" t="str">
        <x:v>N origem</x:v>
      </x:c>
      <x:c r="D3" s="8" t="str">
        <x:v>Observação</x:v>
      </x:c>
    </x:row>
    <x:row r="4">
      <x:c r="A4" t="str">
        <x:v>1º ano · referencia</x:v>
      </x:c>
      <x:c r="B4" t="n">
        <x:v>16</x:v>
      </x:c>
      <x:c r="C4" t="n">
        <x:v>24</x:v>
      </x:c>
      <x:c r="D4" t="str">
        <x:v>Mínimo observado dos adequados (não oficial)</x:v>
      </x:c>
    </x:row>
    <x:row r="5">
      <x:c r="A5" t="str">
        <x:v>1º ano · contraprova</x:v>
      </x:c>
      <x:c r="B5" t="n">
        <x:v>17</x:v>
      </x:c>
      <x:c r="C5" t="n">
        <x:v>24</x:v>
      </x:c>
      <x:c r="D5" t="str">
        <x:v>Mínimo observado dos adequados (não oficial)</x:v>
      </x:c>
    </x:row>
    <x:row r="6">
      <x:c r="A6" t="str">
        <x:v>2º ano · referencia</x:v>
      </x:c>
      <x:c r="B6" t="n">
        <x:v>16</x:v>
      </x:c>
      <x:c r="C6" t="n">
        <x:v>26</x:v>
      </x:c>
      <x:c r="D6" t="str">
        <x:v>Mínimo observado dos adequados (não oficial)</x:v>
      </x:c>
    </x:row>
    <x:row r="7">
      <x:c r="A7" t="str">
        <x:v>2º ano · contraprova</x:v>
      </x:c>
      <x:c r="B7" t="n">
        <x:v>16</x:v>
      </x:c>
      <x:c r="C7" t="n">
        <x:v>28</x:v>
      </x:c>
      <x:c r="D7" t="str">
        <x:v>Mínimo observado dos adequados (não oficial)</x:v>
      </x:c>
    </x:row>
    <x:row r="9">
      <x:c r="A9" t="str">
        <x:v>Parâmetro</x:v>
      </x:c>
      <x:c r="B9" t="str">
        <x:v>Valor</x:v>
      </x:c>
    </x:row>
    <x:row r="10">
      <x:c r="A10" t="str">
        <x:v>Meta operacional</x:v>
      </x:c>
      <x:c r="B10" s="2" t="n">
        <x:v>0.8</x:v>
      </x:c>
    </x:row>
    <x:row r="11">
      <x:c r="A11" t="str">
        <x:v>Escola INEP</x:v>
      </x:c>
      <x:c r="B11" t="str">
        <x:v>23084995</x:v>
      </x:c>
    </x:row>
    <x:row r="12">
      <x:c r="A12" t="str">
        <x:v>Data exportação (não da prova)</x:v>
      </x:c>
      <x:c r="B12" t="str">
        <x:v>30/07/2026</x:v>
      </x:c>
    </x:row>
    <x:row r="14">
      <x:c r="A14" t="str">
        <x:v>Aviso</x:v>
      </x:c>
      <x:c r="B14" t="str">
        <x:v>Status</x:v>
      </x:c>
      <x:c r="C14" t="str"/>
      <x:c r="D14" t="str"/>
    </x:row>
    <x:row r="15">
      <x:c r="A15" t="str">
        <x:v>Identificação das aplicações</x:v>
      </x:c>
      <x:c r="B15" t="str">
        <x:v>Hipótese, a verificar no CAEd</x:v>
      </x:c>
      <x:c r="C15"/>
      <x:c r="D15"/>
    </x:row>
    <x:row r="16">
      <x:c r="A16" t="str">
        <x:v>Nota técnica</x:v>
      </x:c>
      <x:c r="B16" t="str">
        <x:v>Habilidades Hxx entre provas não foram equivalidas</x:v>
      </x:c>
      <x:c r="C16"/>
      <x:c r="D16"/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34" hidden="0" customWidth="1"/>
    <x:col min="8" max="8" width="34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  <x:col min="33" max="33" width="12" hidden="0" customWidth="1"/>
    <x:col min="34" max="34" width="12" hidden="0" customWidth="1"/>
    <x:col min="35" max="35" width="16" hidden="0" customWidth="1"/>
    <x:col min="36" max="36" width="16" hidden="0" customWidth="1"/>
    <x:col min="37" max="37" width="16" hidden="0" customWidth="1"/>
    <x:col min="38" max="38" width="16" hidden="0" customWidth="1"/>
    <x:col min="39" max="39" width="16" hidden="0" customWidth="1"/>
    <x:col min="40" max="40" width="16" hidden="0" customWidth="1"/>
  </x:cols>
  <x:sheetData>
    <x:row r="1" ht="32" customHeight="1">
      <x:c r="A1" s="8" t="str">
        <x:v>ID</x:v>
      </x:c>
      <x:c r="B1" s="8" t="str">
        <x:v>Nome (RESTRITO)</x:v>
      </x:c>
      <x:c r="C1" s="8" t="str">
        <x:v>Ano</x:v>
      </x:c>
      <x:c r="D1" s="8" t="str">
        <x:v>Aplicacao</x:v>
      </x:c>
      <x:c r="E1" s="8" t="str">
        <x:v>Nivel_CAEd</x:v>
      </x:c>
      <x:c r="F1" s="8" t="str">
        <x:v>Avaliado</x:v>
      </x:c>
      <x:c r="G1" s="8" t="str">
        <x:v>ZIP fonte</x:v>
      </x:c>
      <x:c r="H1" s="8" t="str">
        <x:v>CSV fonte</x:v>
      </x:c>
      <x:c r="I1" s="8" t="str">
        <x:v>H01_acertos</x:v>
      </x:c>
      <x:c r="J1" s="8" t="str">
        <x:v>H01_itens</x:v>
      </x:c>
      <x:c r="K1" s="8" t="str">
        <x:v>H02_acertos</x:v>
      </x:c>
      <x:c r="L1" s="8" t="str">
        <x:v>H02_itens</x:v>
      </x:c>
      <x:c r="M1" s="8" t="str">
        <x:v>H03_acertos</x:v>
      </x:c>
      <x:c r="N1" s="8" t="str">
        <x:v>H03_itens</x:v>
      </x:c>
      <x:c r="O1" s="8" t="str">
        <x:v>H04_acertos</x:v>
      </x:c>
      <x:c r="P1" s="8" t="str">
        <x:v>H04_itens</x:v>
      </x:c>
      <x:c r="Q1" s="8" t="str">
        <x:v>H05_acertos</x:v>
      </x:c>
      <x:c r="R1" s="8" t="str">
        <x:v>H05_itens</x:v>
      </x:c>
      <x:c r="S1" s="8" t="str">
        <x:v>H06_acertos</x:v>
      </x:c>
      <x:c r="T1" s="8" t="str">
        <x:v>H06_itens</x:v>
      </x:c>
      <x:c r="U1" s="8" t="str">
        <x:v>H07_acertos</x:v>
      </x:c>
      <x:c r="V1" s="8" t="str">
        <x:v>H07_itens</x:v>
      </x:c>
      <x:c r="W1" s="8" t="str">
        <x:v>H08_acertos</x:v>
      </x:c>
      <x:c r="X1" s="8" t="str">
        <x:v>H08_itens</x:v>
      </x:c>
      <x:c r="Y1" s="8" t="str">
        <x:v>H09_acertos</x:v>
      </x:c>
      <x:c r="Z1" s="8" t="str">
        <x:v>H09_itens</x:v>
      </x:c>
      <x:c r="AA1" s="8" t="str">
        <x:v>H10_acertos</x:v>
      </x:c>
      <x:c r="AB1" s="8" t="str">
        <x:v>H10_itens</x:v>
      </x:c>
      <x:c r="AC1" s="8" t="str">
        <x:v>H11_acertos</x:v>
      </x:c>
      <x:c r="AD1" s="8" t="str">
        <x:v>H11_itens</x:v>
      </x:c>
      <x:c r="AE1" s="8" t="str">
        <x:v>H12_acertos</x:v>
      </x:c>
      <x:c r="AF1" s="8" t="str">
        <x:v>H12_itens</x:v>
      </x:c>
      <x:c r="AG1" s="8" t="str">
        <x:v>H13_acertos</x:v>
      </x:c>
      <x:c r="AH1" s="8" t="str">
        <x:v>H13_itens</x:v>
      </x:c>
      <x:c r="AI1" s="8" t="str">
        <x:v>Total_acertos</x:v>
      </x:c>
      <x:c r="AJ1" s="8" t="str">
        <x:v>Total_itens</x:v>
      </x:c>
      <x:c r="AK1" s="8" t="str">
        <x:v>Taxa_acertos</x:v>
      </x:c>
      <x:c r="AL1" s="8" t="str">
        <x:v>Adequado_binario</x:v>
      </x:c>
      <x:c r="AM1" s="8" t="str">
        <x:v>Corte_observado</x:v>
      </x:c>
      <x:c r="AN1" s="8" t="str">
        <x:v>Lacuna_ate_corte</x:v>
      </x:c>
    </x:row>
    <x:row r="2">
      <x:c r="A2" t="str">
        <x:v>1A001</x:v>
      </x:c>
      <x:c r="B2" t="str">
        <x:v>ANTONIO CALLEBY PEREIRA LIMA</x:v>
      </x:c>
      <x:c r="C2" t="str">
        <x:v>1º ano</x:v>
      </x:c>
      <x:c r="D2" t="str">
        <x:v>referencia</x:v>
      </x:c>
      <x:c r="E2" t="str">
        <x:v>Adequado</x:v>
      </x:c>
      <x:c r="F2" t="str">
        <x:v>Sim</x:v>
      </x:c>
      <x:c r="G2" t="str">
        <x:v>CAEd_DadosExportados.zip</x:v>
      </x:c>
      <x:c r="H2" t="str">
        <x:v>HABILIDADES_DESEMPENHO_ESTUDANTE 30-07-2026 9-16-45.csv</x:v>
      </x:c>
      <x:c r="I2" t="n">
        <x:v>3</x:v>
      </x:c>
      <x:c r="J2" t="n">
        <x:v>3</x:v>
      </x:c>
      <x:c r="K2" t="n">
        <x:v>3</x:v>
      </x:c>
      <x:c r="L2" t="n">
        <x:v>3</x:v>
      </x:c>
      <x:c r="M2" t="n">
        <x:v>3</x:v>
      </x:c>
      <x:c r="N2" t="n">
        <x:v>3</x:v>
      </x:c>
      <x:c r="O2" t="n">
        <x:v>2</x:v>
      </x:c>
      <x:c r="P2" t="n">
        <x:v>3</x:v>
      </x:c>
      <x:c r="Q2" t="n">
        <x:v>3</x:v>
      </x:c>
      <x:c r="R2" t="n">
        <x:v>3</x:v>
      </x:c>
      <x:c r="S2" t="n">
        <x:v>1</x:v>
      </x:c>
      <x:c r="T2" t="n">
        <x:v>3</x:v>
      </x:c>
      <x:c r="U2" t="n">
        <x:v>2</x:v>
      </x:c>
      <x:c r="V2" t="n">
        <x:v>2</x:v>
      </x:c>
      <x:c r="W2" t="n">
        <x:v>2</x:v>
      </x:c>
      <x:c r="X2" t="n">
        <x:v>2</x:v>
      </x:c>
      <x:c r="Y2"/>
      <x:c r="Z2"/>
      <x:c r="AA2"/>
      <x:c r="AB2"/>
      <x:c r="AC2"/>
      <x:c r="AD2"/>
      <x:c r="AE2"/>
      <x:c r="AF2"/>
      <x:c r="AG2"/>
      <x:c r="AH2"/>
      <x:c r="AI2" t="n">
        <x:f>SUM(I2,K2,M2,O2,Q2,S2,U2,W2,Y2,AA2,AC2,AE2,AG2)</x:f>
        <x:v>19</x:v>
      </x:c>
      <x:c r="AJ2" t="n">
        <x:f>SUM(J2,L2,N2,P2,R2,T2,V2,X2,Z2,AB2,AD2,AF2,AH2)</x:f>
        <x:v>22</x:v>
      </x:c>
      <x:c r="AK2" s="2" t="n">
        <x:f>IFERROR(AI2/AJ2,0)</x:f>
        <x:v>0.8636363636363636</x:v>
      </x:c>
      <x:c r="AL2" t="n">
        <x:f>IF(E2="Adequado",1,0)</x:f>
        <x:v>1</x:v>
      </x:c>
      <x:c r="AM2" t="n">
        <x:f>IF(C2="1º ano",IF(D2="referencia",Parametros!$B$4,Parametros!$B$5),IF(D2="referencia",Parametros!$B$6,Parametros!$B$7))</x:f>
        <x:v>16</x:v>
      </x:c>
      <x:c r="AN2" t="n">
        <x:f>MAX(0,AM2-AI2)</x:f>
        <x:v>0</x:v>
      </x:c>
    </x:row>
    <x:row r="3">
      <x:c r="A3" t="str">
        <x:v>1A001</x:v>
      </x:c>
      <x:c r="B3" t="str">
        <x:v>ANTONIO CALLEBY PEREIRA LIMA</x:v>
      </x:c>
      <x:c r="C3" t="str">
        <x:v>1º ano</x:v>
      </x:c>
      <x:c r="D3" t="str">
        <x:v>contraprova</x:v>
      </x:c>
      <x:c r="E3" t="str">
        <x:v>Adequado</x:v>
      </x:c>
      <x:c r="F3" t="str">
        <x:v>Sim</x:v>
      </x:c>
      <x:c r="G3" t="str">
        <x:v>CAEd_DadosExportados (3).zip</x:v>
      </x:c>
      <x:c r="H3" t="str">
        <x:v>HABILIDADES_DESEMPENHO_ESTUDANTE 30-07-2026 9-19-42.csv</x:v>
      </x:c>
      <x:c r="I3" t="n">
        <x:v>2</x:v>
      </x:c>
      <x:c r="J3" t="n">
        <x:v>2</x:v>
      </x:c>
      <x:c r="K3" t="n">
        <x:v>2</x:v>
      </x:c>
      <x:c r="L3" t="n">
        <x:v>2</x:v>
      </x:c>
      <x:c r="M3" t="n">
        <x:v>2</x:v>
      </x:c>
      <x:c r="N3" t="n">
        <x:v>3</x:v>
      </x:c>
      <x:c r="O3" t="n">
        <x:v>1</x:v>
      </x:c>
      <x:c r="P3" t="n">
        <x:v>3</x:v>
      </x:c>
      <x:c r="Q3" t="n">
        <x:v>3</x:v>
      </x:c>
      <x:c r="R3" t="n">
        <x:v>3</x:v>
      </x:c>
      <x:c r="S3" t="n">
        <x:v>3</x:v>
      </x:c>
      <x:c r="T3" t="n">
        <x:v>3</x:v>
      </x:c>
      <x:c r="U3" t="n">
        <x:v>2</x:v>
      </x:c>
      <x:c r="V3" t="n">
        <x:v>2</x:v>
      </x:c>
      <x:c r="W3" t="n">
        <x:v>2</x:v>
      </x:c>
      <x:c r="X3" t="n">
        <x:v>2</x:v>
      </x:c>
      <x:c r="Y3" t="n">
        <x:v>2</x:v>
      </x:c>
      <x:c r="Z3" t="n">
        <x:v>2</x:v>
      </x:c>
      <x:c r="AA3"/>
      <x:c r="AB3"/>
      <x:c r="AC3"/>
      <x:c r="AD3"/>
      <x:c r="AE3"/>
      <x:c r="AF3"/>
      <x:c r="AG3"/>
      <x:c r="AH3"/>
      <x:c r="AI3" t="n">
        <x:f>SUM(I3,K3,M3,O3,Q3,S3,U3,W3,Y3,AA3,AC3,AE3,AG3)</x:f>
        <x:v>19</x:v>
      </x:c>
      <x:c r="AJ3" t="n">
        <x:f>SUM(J3,L3,N3,P3,R3,T3,V3,X3,Z3,AB3,AD3,AF3,AH3)</x:f>
        <x:v>22</x:v>
      </x:c>
      <x:c r="AK3" s="2" t="n">
        <x:f>IFERROR(AI3/AJ3,0)</x:f>
        <x:v>0.8636363636363636</x:v>
      </x:c>
      <x:c r="AL3" t="n">
        <x:f>IF(E3="Adequado",1,0)</x:f>
        <x:v>1</x:v>
      </x:c>
      <x:c r="AM3" t="n">
        <x:f>IF(C3="1º ano",IF(D3="referencia",Parametros!$B$4,Parametros!$B$5),IF(D3="referencia",Parametros!$B$6,Parametros!$B$7))</x:f>
        <x:v>17</x:v>
      </x:c>
      <x:c r="AN3" t="n">
        <x:f>MAX(0,AM3-AI3)</x:f>
        <x:v>0</x:v>
      </x:c>
    </x:row>
    <x:row r="4">
      <x:c r="A4" t="str">
        <x:v>1A002</x:v>
      </x:c>
      <x:c r="B4" t="str">
        <x:v>DANIEL CONCEICAO PIMENTEL</x:v>
      </x:c>
      <x:c r="C4" t="str">
        <x:v>1º ano</x:v>
      </x:c>
      <x:c r="D4" t="str">
        <x:v>referencia</x:v>
      </x:c>
      <x:c r="E4" t="str">
        <x:v>Adequado</x:v>
      </x:c>
      <x:c r="F4" t="str">
        <x:v>Sim</x:v>
      </x:c>
      <x:c r="G4" t="str">
        <x:v>CAEd_DadosExportados.zip</x:v>
      </x:c>
      <x:c r="H4" t="str">
        <x:v>HABILIDADES_DESEMPENHO_ESTUDANTE 30-07-2026 9-16-45.csv</x:v>
      </x:c>
      <x:c r="I4" t="n">
        <x:v>3</x:v>
      </x:c>
      <x:c r="J4" t="n">
        <x:v>3</x:v>
      </x:c>
      <x:c r="K4" t="n">
        <x:v>3</x:v>
      </x:c>
      <x:c r="L4" t="n">
        <x:v>3</x:v>
      </x:c>
      <x:c r="M4" t="n">
        <x:v>3</x:v>
      </x:c>
      <x:c r="N4" t="n">
        <x:v>3</x:v>
      </x:c>
      <x:c r="O4" t="n">
        <x:v>3</x:v>
      </x:c>
      <x:c r="P4" t="n">
        <x:v>3</x:v>
      </x:c>
      <x:c r="Q4" t="n">
        <x:v>3</x:v>
      </x:c>
      <x:c r="R4" t="n">
        <x:v>3</x:v>
      </x:c>
      <x:c r="S4" t="n">
        <x:v>3</x:v>
      </x:c>
      <x:c r="T4" t="n">
        <x:v>3</x:v>
      </x:c>
      <x:c r="U4" t="n">
        <x:v>1</x:v>
      </x:c>
      <x:c r="V4" t="n">
        <x:v>2</x:v>
      </x:c>
      <x:c r="W4" t="n">
        <x:v>1</x:v>
      </x:c>
      <x:c r="X4" t="n">
        <x:v>2</x:v>
      </x:c>
      <x:c r="Y4"/>
      <x:c r="Z4"/>
      <x:c r="AA4"/>
      <x:c r="AB4"/>
      <x:c r="AC4"/>
      <x:c r="AD4"/>
      <x:c r="AE4"/>
      <x:c r="AF4"/>
      <x:c r="AG4"/>
      <x:c r="AH4"/>
      <x:c r="AI4" t="n">
        <x:f>SUM(I4,K4,M4,O4,Q4,S4,U4,W4,Y4,AA4,AC4,AE4,AG4)</x:f>
        <x:v>20</x:v>
      </x:c>
      <x:c r="AJ4" t="n">
        <x:f>SUM(J4,L4,N4,P4,R4,T4,V4,X4,Z4,AB4,AD4,AF4,AH4)</x:f>
        <x:v>22</x:v>
      </x:c>
      <x:c r="AK4" s="2" t="n">
        <x:f>IFERROR(AI4/AJ4,0)</x:f>
        <x:v>0.9090909090909091</x:v>
      </x:c>
      <x:c r="AL4" t="n">
        <x:f>IF(E4="Adequado",1,0)</x:f>
        <x:v>1</x:v>
      </x:c>
      <x:c r="AM4" t="n">
        <x:f>IF(C4="1º ano",IF(D4="referencia",Parametros!$B$4,Parametros!$B$5),IF(D4="referencia",Parametros!$B$6,Parametros!$B$7))</x:f>
        <x:v>16</x:v>
      </x:c>
      <x:c r="AN4" t="n">
        <x:f>MAX(0,AM4-AI4)</x:f>
        <x:v>0</x:v>
      </x:c>
    </x:row>
    <x:row r="5">
      <x:c r="A5" t="str">
        <x:v>1A002</x:v>
      </x:c>
      <x:c r="B5" t="str">
        <x:v>DANIEL CONCEICAO PIMENTEL</x:v>
      </x:c>
      <x:c r="C5" t="str">
        <x:v>1º ano</x:v>
      </x:c>
      <x:c r="D5" t="str">
        <x:v>contraprova</x:v>
      </x:c>
      <x:c r="E5" t="str">
        <x:v>Intermediário</x:v>
      </x:c>
      <x:c r="F5" t="str">
        <x:v>Sim</x:v>
      </x:c>
      <x:c r="G5" t="str">
        <x:v>CAEd_DadosExportados (3).zip</x:v>
      </x:c>
      <x:c r="H5" t="str">
        <x:v>HABILIDADES_DESEMPENHO_ESTUDANTE 30-07-2026 9-19-42.csv</x:v>
      </x:c>
      <x:c r="I5" t="n">
        <x:v>1</x:v>
      </x:c>
      <x:c r="J5" t="n">
        <x:v>2</x:v>
      </x:c>
      <x:c r="K5" t="n">
        <x:v>1</x:v>
      </x:c>
      <x:c r="L5" t="n">
        <x:v>2</x:v>
      </x:c>
      <x:c r="M5" t="n">
        <x:v>2</x:v>
      </x:c>
      <x:c r="N5" t="n">
        <x:v>3</x:v>
      </x:c>
      <x:c r="O5" t="n">
        <x:v>1</x:v>
      </x:c>
      <x:c r="P5" t="n">
        <x:v>3</x:v>
      </x:c>
      <x:c r="Q5" t="n">
        <x:v>2</x:v>
      </x:c>
      <x:c r="R5" t="n">
        <x:v>3</x:v>
      </x:c>
      <x:c r="S5" t="n">
        <x:v>3</x:v>
      </x:c>
      <x:c r="T5" t="n">
        <x:v>3</x:v>
      </x:c>
      <x:c r="U5" t="n">
        <x:v>0</x:v>
      </x:c>
      <x:c r="V5" t="n">
        <x:v>2</x:v>
      </x:c>
      <x:c r="W5" t="n">
        <x:v>2</x:v>
      </x:c>
      <x:c r="X5" t="n">
        <x:v>2</x:v>
      </x:c>
      <x:c r="Y5" t="n">
        <x:v>2</x:v>
      </x:c>
      <x:c r="Z5" t="n">
        <x:v>2</x:v>
      </x:c>
      <x:c r="AA5"/>
      <x:c r="AB5"/>
      <x:c r="AC5"/>
      <x:c r="AD5"/>
      <x:c r="AE5"/>
      <x:c r="AF5"/>
      <x:c r="AG5"/>
      <x:c r="AH5"/>
      <x:c r="AI5" t="n">
        <x:f>SUM(I5,K5,M5,O5,Q5,S5,U5,W5,Y5,AA5,AC5,AE5,AG5)</x:f>
        <x:v>14</x:v>
      </x:c>
      <x:c r="AJ5" t="n">
        <x:f>SUM(J5,L5,N5,P5,R5,T5,V5,X5,Z5,AB5,AD5,AF5,AH5)</x:f>
        <x:v>22</x:v>
      </x:c>
      <x:c r="AK5" s="2" t="n">
        <x:f>IFERROR(AI5/AJ5,0)</x:f>
        <x:v>0.6363636363636364</x:v>
      </x:c>
      <x:c r="AL5" t="n">
        <x:f>IF(E5="Adequado",1,0)</x:f>
        <x:v>0</x:v>
      </x:c>
      <x:c r="AM5" t="n">
        <x:f>IF(C5="1º ano",IF(D5="referencia",Parametros!$B$4,Parametros!$B$5),IF(D5="referencia",Parametros!$B$6,Parametros!$B$7))</x:f>
        <x:v>17</x:v>
      </x:c>
      <x:c r="AN5" t="n">
        <x:f>MAX(0,AM5-AI5)</x:f>
        <x:v>3</x:v>
      </x:c>
    </x:row>
    <x:row r="6">
      <x:c r="A6" t="str">
        <x:v>1A003</x:v>
      </x:c>
      <x:c r="B6" t="str">
        <x:v>EMANUELLY DO NASCIMENTO BEZERRA</x:v>
      </x:c>
      <x:c r="C6" t="str">
        <x:v>1º ano</x:v>
      </x:c>
      <x:c r="D6" t="str">
        <x:v>referencia</x:v>
      </x:c>
      <x:c r="E6" t="str">
        <x:v>Adequado</x:v>
      </x:c>
      <x:c r="F6" t="str">
        <x:v>Sim</x:v>
      </x:c>
      <x:c r="G6" t="str">
        <x:v>CAEd_DadosExportados.zip</x:v>
      </x:c>
      <x:c r="H6" t="str">
        <x:v>HABILIDADES_DESEMPENHO_ESTUDANTE 30-07-2026 9-16-45.csv</x:v>
      </x:c>
      <x:c r="I6" t="n">
        <x:v>3</x:v>
      </x:c>
      <x:c r="J6" t="n">
        <x:v>3</x:v>
      </x:c>
      <x:c r="K6" t="n">
        <x:v>3</x:v>
      </x:c>
      <x:c r="L6" t="n">
        <x:v>3</x:v>
      </x:c>
      <x:c r="M6" t="n">
        <x:v>3</x:v>
      </x:c>
      <x:c r="N6" t="n">
        <x:v>3</x:v>
      </x:c>
      <x:c r="O6" t="n">
        <x:v>3</x:v>
      </x:c>
      <x:c r="P6" t="n">
        <x:v>3</x:v>
      </x:c>
      <x:c r="Q6" t="n">
        <x:v>3</x:v>
      </x:c>
      <x:c r="R6" t="n">
        <x:v>3</x:v>
      </x:c>
      <x:c r="S6" t="n">
        <x:v>2</x:v>
      </x:c>
      <x:c r="T6" t="n">
        <x:v>3</x:v>
      </x:c>
      <x:c r="U6" t="n">
        <x:v>0</x:v>
      </x:c>
      <x:c r="V6" t="n">
        <x:v>2</x:v>
      </x:c>
      <x:c r="W6" t="n">
        <x:v>2</x:v>
      </x:c>
      <x:c r="X6" t="n">
        <x:v>2</x:v>
      </x:c>
      <x:c r="Y6"/>
      <x:c r="Z6"/>
      <x:c r="AA6"/>
      <x:c r="AB6"/>
      <x:c r="AC6"/>
      <x:c r="AD6"/>
      <x:c r="AE6"/>
      <x:c r="AF6"/>
      <x:c r="AG6"/>
      <x:c r="AH6"/>
      <x:c r="AI6" t="n">
        <x:f>SUM(I6,K6,M6,O6,Q6,S6,U6,W6,Y6,AA6,AC6,AE6,AG6)</x:f>
        <x:v>19</x:v>
      </x:c>
      <x:c r="AJ6" t="n">
        <x:f>SUM(J6,L6,N6,P6,R6,T6,V6,X6,Z6,AB6,AD6,AF6,AH6)</x:f>
        <x:v>22</x:v>
      </x:c>
      <x:c r="AK6" s="2" t="n">
        <x:f>IFERROR(AI6/AJ6,0)</x:f>
        <x:v>0.8636363636363636</x:v>
      </x:c>
      <x:c r="AL6" t="n">
        <x:f>IF(E6="Adequado",1,0)</x:f>
        <x:v>1</x:v>
      </x:c>
      <x:c r="AM6" t="n">
        <x:f>IF(C6="1º ano",IF(D6="referencia",Parametros!$B$4,Parametros!$B$5),IF(D6="referencia",Parametros!$B$6,Parametros!$B$7))</x:f>
        <x:v>16</x:v>
      </x:c>
      <x:c r="AN6" t="n">
        <x:f>MAX(0,AM6-AI6)</x:f>
        <x:v>0</x:v>
      </x:c>
    </x:row>
    <x:row r="7">
      <x:c r="A7" t="str">
        <x:v>1A003</x:v>
      </x:c>
      <x:c r="B7" t="str">
        <x:v>EMANUELLY DO NASCIMENTO BEZERRA</x:v>
      </x:c>
      <x:c r="C7" t="str">
        <x:v>1º ano</x:v>
      </x:c>
      <x:c r="D7" t="str">
        <x:v>contraprova</x:v>
      </x:c>
      <x:c r="E7" t="str">
        <x:v>Adequado</x:v>
      </x:c>
      <x:c r="F7" t="str">
        <x:v>Sim</x:v>
      </x:c>
      <x:c r="G7" t="str">
        <x:v>CAEd_DadosExportados (3).zip</x:v>
      </x:c>
      <x:c r="H7" t="str">
        <x:v>HABILIDADES_DESEMPENHO_ESTUDANTE 30-07-2026 9-19-42.csv</x:v>
      </x:c>
      <x:c r="I7" t="n">
        <x:v>2</x:v>
      </x:c>
      <x:c r="J7" t="n">
        <x:v>2</x:v>
      </x:c>
      <x:c r="K7" t="n">
        <x:v>2</x:v>
      </x:c>
      <x:c r="L7" t="n">
        <x:v>2</x:v>
      </x:c>
      <x:c r="M7" t="n">
        <x:v>3</x:v>
      </x:c>
      <x:c r="N7" t="n">
        <x:v>3</x:v>
      </x:c>
      <x:c r="O7" t="n">
        <x:v>2</x:v>
      </x:c>
      <x:c r="P7" t="n">
        <x:v>3</x:v>
      </x:c>
      <x:c r="Q7" t="n">
        <x:v>3</x:v>
      </x:c>
      <x:c r="R7" t="n">
        <x:v>3</x:v>
      </x:c>
      <x:c r="S7" t="n">
        <x:v>2</x:v>
      </x:c>
      <x:c r="T7" t="n">
        <x:v>3</x:v>
      </x:c>
      <x:c r="U7" t="n">
        <x:v>2</x:v>
      </x:c>
      <x:c r="V7" t="n">
        <x:v>2</x:v>
      </x:c>
      <x:c r="W7" t="n">
        <x:v>2</x:v>
      </x:c>
      <x:c r="X7" t="n">
        <x:v>2</x:v>
      </x:c>
      <x:c r="Y7" t="n">
        <x:v>2</x:v>
      </x:c>
      <x:c r="Z7" t="n">
        <x:v>2</x:v>
      </x:c>
      <x:c r="AA7"/>
      <x:c r="AB7"/>
      <x:c r="AC7"/>
      <x:c r="AD7"/>
      <x:c r="AE7"/>
      <x:c r="AF7"/>
      <x:c r="AG7"/>
      <x:c r="AH7"/>
      <x:c r="AI7" t="n">
        <x:f>SUM(I7,K7,M7,O7,Q7,S7,U7,W7,Y7,AA7,AC7,AE7,AG7)</x:f>
        <x:v>20</x:v>
      </x:c>
      <x:c r="AJ7" t="n">
        <x:f>SUM(J7,L7,N7,P7,R7,T7,V7,X7,Z7,AB7,AD7,AF7,AH7)</x:f>
        <x:v>22</x:v>
      </x:c>
      <x:c r="AK7" s="2" t="n">
        <x:f>IFERROR(AI7/AJ7,0)</x:f>
        <x:v>0.9090909090909091</x:v>
      </x:c>
      <x:c r="AL7" t="n">
        <x:f>IF(E7="Adequado",1,0)</x:f>
        <x:v>1</x:v>
      </x:c>
      <x:c r="AM7" t="n">
        <x:f>IF(C7="1º ano",IF(D7="referencia",Parametros!$B$4,Parametros!$B$5),IF(D7="referencia",Parametros!$B$6,Parametros!$B$7))</x:f>
        <x:v>17</x:v>
      </x:c>
      <x:c r="AN7" t="n">
        <x:f>MAX(0,AM7-AI7)</x:f>
        <x:v>0</x:v>
      </x:c>
    </x:row>
    <x:row r="8">
      <x:c r="A8" t="str">
        <x:v>1A004</x:v>
      </x:c>
      <x:c r="B8" t="str">
        <x:v>FRANCISCO MIGUEL MARTINS DE SOUSA</x:v>
      </x:c>
      <x:c r="C8" t="str">
        <x:v>1º ano</x:v>
      </x:c>
      <x:c r="D8" t="str">
        <x:v>referencia</x:v>
      </x:c>
      <x:c r="E8" t="str">
        <x:v>Adequado</x:v>
      </x:c>
      <x:c r="F8" t="str">
        <x:v>Sim</x:v>
      </x:c>
      <x:c r="G8" t="str">
        <x:v>CAEd_DadosExportados.zip</x:v>
      </x:c>
      <x:c r="H8" t="str">
        <x:v>HABILIDADES_DESEMPENHO_ESTUDANTE 30-07-2026 9-16-45.csv</x:v>
      </x:c>
      <x:c r="I8" t="n">
        <x:v>3</x:v>
      </x:c>
      <x:c r="J8" t="n">
        <x:v>3</x:v>
      </x:c>
      <x:c r="K8" t="n">
        <x:v>3</x:v>
      </x:c>
      <x:c r="L8" t="n">
        <x:v>3</x:v>
      </x:c>
      <x:c r="M8" t="n">
        <x:v>1</x:v>
      </x:c>
      <x:c r="N8" t="n">
        <x:v>3</x:v>
      </x:c>
      <x:c r="O8" t="n">
        <x:v>0</x:v>
      </x:c>
      <x:c r="P8" t="n">
        <x:v>3</x:v>
      </x:c>
      <x:c r="Q8" t="n">
        <x:v>3</x:v>
      </x:c>
      <x:c r="R8" t="n">
        <x:v>3</x:v>
      </x:c>
      <x:c r="S8" t="n">
        <x:v>2</x:v>
      </x:c>
      <x:c r="T8" t="n">
        <x:v>3</x:v>
      </x:c>
      <x:c r="U8" t="n">
        <x:v>2</x:v>
      </x:c>
      <x:c r="V8" t="n">
        <x:v>2</x:v>
      </x:c>
      <x:c r="W8" t="n">
        <x:v>2</x:v>
      </x:c>
      <x:c r="X8" t="n">
        <x:v>2</x:v>
      </x:c>
      <x:c r="Y8"/>
      <x:c r="Z8"/>
      <x:c r="AA8"/>
      <x:c r="AB8"/>
      <x:c r="AC8"/>
      <x:c r="AD8"/>
      <x:c r="AE8"/>
      <x:c r="AF8"/>
      <x:c r="AG8"/>
      <x:c r="AH8"/>
      <x:c r="AI8" t="n">
        <x:f>SUM(I8,K8,M8,O8,Q8,S8,U8,W8,Y8,AA8,AC8,AE8,AG8)</x:f>
        <x:v>16</x:v>
      </x:c>
      <x:c r="AJ8" t="n">
        <x:f>SUM(J8,L8,N8,P8,R8,T8,V8,X8,Z8,AB8,AD8,AF8,AH8)</x:f>
        <x:v>22</x:v>
      </x:c>
      <x:c r="AK8" s="2" t="n">
        <x:f>IFERROR(AI8/AJ8,0)</x:f>
        <x:v>0.7272727272727273</x:v>
      </x:c>
      <x:c r="AL8" t="n">
        <x:f>IF(E8="Adequado",1,0)</x:f>
        <x:v>1</x:v>
      </x:c>
      <x:c r="AM8" t="n">
        <x:f>IF(C8="1º ano",IF(D8="referencia",Parametros!$B$4,Parametros!$B$5),IF(D8="referencia",Parametros!$B$6,Parametros!$B$7))</x:f>
        <x:v>16</x:v>
      </x:c>
      <x:c r="AN8" t="n">
        <x:f>MAX(0,AM8-AI8)</x:f>
        <x:v>0</x:v>
      </x:c>
    </x:row>
    <x:row r="9">
      <x:c r="A9" t="str">
        <x:v>1A004</x:v>
      </x:c>
      <x:c r="B9" t="str">
        <x:v>FRANCISCO MIGUEL MARTINS DE SOUSA</x:v>
      </x:c>
      <x:c r="C9" t="str">
        <x:v>1º ano</x:v>
      </x:c>
      <x:c r="D9" t="str">
        <x:v>contraprova</x:v>
      </x:c>
      <x:c r="E9" t="str">
        <x:v>Adequado</x:v>
      </x:c>
      <x:c r="F9" t="str">
        <x:v>Sim</x:v>
      </x:c>
      <x:c r="G9" t="str">
        <x:v>CAEd_DadosExportados (3).zip</x:v>
      </x:c>
      <x:c r="H9" t="str">
        <x:v>HABILIDADES_DESEMPENHO_ESTUDANTE 30-07-2026 9-19-42.csv</x:v>
      </x:c>
      <x:c r="I9" t="n">
        <x:v>2</x:v>
      </x:c>
      <x:c r="J9" t="n">
        <x:v>2</x:v>
      </x:c>
      <x:c r="K9" t="n">
        <x:v>2</x:v>
      </x:c>
      <x:c r="L9" t="n">
        <x:v>2</x:v>
      </x:c>
      <x:c r="M9" t="n">
        <x:v>3</x:v>
      </x:c>
      <x:c r="N9" t="n">
        <x:v>3</x:v>
      </x:c>
      <x:c r="O9" t="n">
        <x:v>2</x:v>
      </x:c>
      <x:c r="P9" t="n">
        <x:v>3</x:v>
      </x:c>
      <x:c r="Q9" t="n">
        <x:v>1</x:v>
      </x:c>
      <x:c r="R9" t="n">
        <x:v>3</x:v>
      </x:c>
      <x:c r="S9" t="n">
        <x:v>3</x:v>
      </x:c>
      <x:c r="T9" t="n">
        <x:v>3</x:v>
      </x:c>
      <x:c r="U9" t="n">
        <x:v>2</x:v>
      </x:c>
      <x:c r="V9" t="n">
        <x:v>2</x:v>
      </x:c>
      <x:c r="W9" t="n">
        <x:v>1</x:v>
      </x:c>
      <x:c r="X9" t="n">
        <x:v>2</x:v>
      </x:c>
      <x:c r="Y9" t="n">
        <x:v>2</x:v>
      </x:c>
      <x:c r="Z9" t="n">
        <x:v>2</x:v>
      </x:c>
      <x:c r="AA9"/>
      <x:c r="AB9"/>
      <x:c r="AC9"/>
      <x:c r="AD9"/>
      <x:c r="AE9"/>
      <x:c r="AF9"/>
      <x:c r="AG9"/>
      <x:c r="AH9"/>
      <x:c r="AI9" t="n">
        <x:f>SUM(I9,K9,M9,O9,Q9,S9,U9,W9,Y9,AA9,AC9,AE9,AG9)</x:f>
        <x:v>18</x:v>
      </x:c>
      <x:c r="AJ9" t="n">
        <x:f>SUM(J9,L9,N9,P9,R9,T9,V9,X9,Z9,AB9,AD9,AF9,AH9)</x:f>
        <x:v>22</x:v>
      </x:c>
      <x:c r="AK9" s="2" t="n">
        <x:f>IFERROR(AI9/AJ9,0)</x:f>
        <x:v>0.8181818181818182</x:v>
      </x:c>
      <x:c r="AL9" t="n">
        <x:f>IF(E9="Adequado",1,0)</x:f>
        <x:v>1</x:v>
      </x:c>
      <x:c r="AM9" t="n">
        <x:f>IF(C9="1º ano",IF(D9="referencia",Parametros!$B$4,Parametros!$B$5),IF(D9="referencia",Parametros!$B$6,Parametros!$B$7))</x:f>
        <x:v>17</x:v>
      </x:c>
      <x:c r="AN9" t="n">
        <x:f>MAX(0,AM9-AI9)</x:f>
        <x:v>0</x:v>
      </x:c>
    </x:row>
    <x:row r="10">
      <x:c r="A10" t="str">
        <x:v>1A005</x:v>
      </x:c>
      <x:c r="B10" t="str">
        <x:v>GUSTAVO HENRIQUE MORENO DA SILVA</x:v>
      </x:c>
      <x:c r="C10" t="str">
        <x:v>1º ano</x:v>
      </x:c>
      <x:c r="D10" t="str">
        <x:v>referencia</x:v>
      </x:c>
      <x:c r="E10" t="str">
        <x:v>Adequado</x:v>
      </x:c>
      <x:c r="F10" t="str">
        <x:v>Sim</x:v>
      </x:c>
      <x:c r="G10" t="str">
        <x:v>CAEd_DadosExportados.zip</x:v>
      </x:c>
      <x:c r="H10" t="str">
        <x:v>HABILIDADES_DESEMPENHO_ESTUDANTE 30-07-2026 9-16-45.csv</x:v>
      </x:c>
      <x:c r="I10" t="n">
        <x:v>1</x:v>
      </x:c>
      <x:c r="J10" t="n">
        <x:v>3</x:v>
      </x:c>
      <x:c r="K10" t="n">
        <x:v>3</x:v>
      </x:c>
      <x:c r="L10" t="n">
        <x:v>3</x:v>
      </x:c>
      <x:c r="M10" t="n">
        <x:v>3</x:v>
      </x:c>
      <x:c r="N10" t="n">
        <x:v>3</x:v>
      </x:c>
      <x:c r="O10" t="n">
        <x:v>1</x:v>
      </x:c>
      <x:c r="P10" t="n">
        <x:v>3</x:v>
      </x:c>
      <x:c r="Q10" t="n">
        <x:v>3</x:v>
      </x:c>
      <x:c r="R10" t="n">
        <x:v>3</x:v>
      </x:c>
      <x:c r="S10" t="n">
        <x:v>2</x:v>
      </x:c>
      <x:c r="T10" t="n">
        <x:v>3</x:v>
      </x:c>
      <x:c r="U10" t="n">
        <x:v>1</x:v>
      </x:c>
      <x:c r="V10" t="n">
        <x:v>2</x:v>
      </x:c>
      <x:c r="W10" t="n">
        <x:v>2</x:v>
      </x:c>
      <x:c r="X10" t="n">
        <x:v>2</x:v>
      </x:c>
      <x:c r="Y10"/>
      <x:c r="Z10"/>
      <x:c r="AA10"/>
      <x:c r="AB10"/>
      <x:c r="AC10"/>
      <x:c r="AD10"/>
      <x:c r="AE10"/>
      <x:c r="AF10"/>
      <x:c r="AG10"/>
      <x:c r="AH10"/>
      <x:c r="AI10" t="n">
        <x:f>SUM(I10,K10,M10,O10,Q10,S10,U10,W10,Y10,AA10,AC10,AE10,AG10)</x:f>
        <x:v>16</x:v>
      </x:c>
      <x:c r="AJ10" t="n">
        <x:f>SUM(J10,L10,N10,P10,R10,T10,V10,X10,Z10,AB10,AD10,AF10,AH10)</x:f>
        <x:v>22</x:v>
      </x:c>
      <x:c r="AK10" s="2" t="n">
        <x:f>IFERROR(AI10/AJ10,0)</x:f>
        <x:v>0.7272727272727273</x:v>
      </x:c>
      <x:c r="AL10" t="n">
        <x:f>IF(E10="Adequado",1,0)</x:f>
        <x:v>1</x:v>
      </x:c>
      <x:c r="AM10" t="n">
        <x:f>IF(C10="1º ano",IF(D10="referencia",Parametros!$B$4,Parametros!$B$5),IF(D10="referencia",Parametros!$B$6,Parametros!$B$7))</x:f>
        <x:v>16</x:v>
      </x:c>
      <x:c r="AN10" t="n">
        <x:f>MAX(0,AM10-AI10)</x:f>
        <x:v>0</x:v>
      </x:c>
    </x:row>
    <x:row r="11">
      <x:c r="A11" t="str">
        <x:v>1A005</x:v>
      </x:c>
      <x:c r="B11" t="str">
        <x:v>GUSTAVO HENRIQUE MORENO DA SILVA</x:v>
      </x:c>
      <x:c r="C11" t="str">
        <x:v>1º ano</x:v>
      </x:c>
      <x:c r="D11" t="str">
        <x:v>contraprova</x:v>
      </x:c>
      <x:c r="E11" t="str">
        <x:v>Intermediário</x:v>
      </x:c>
      <x:c r="F11" t="str">
        <x:v>Sim</x:v>
      </x:c>
      <x:c r="G11" t="str">
        <x:v>CAEd_DadosExportados (3).zip</x:v>
      </x:c>
      <x:c r="H11" t="str">
        <x:v>HABILIDADES_DESEMPENHO_ESTUDANTE 30-07-2026 9-19-42.csv</x:v>
      </x:c>
      <x:c r="I11" t="n">
        <x:v>1</x:v>
      </x:c>
      <x:c r="J11" t="n">
        <x:v>2</x:v>
      </x:c>
      <x:c r="K11" t="n">
        <x:v>1</x:v>
      </x:c>
      <x:c r="L11" t="n">
        <x:v>2</x:v>
      </x:c>
      <x:c r="M11" t="n">
        <x:v>2</x:v>
      </x:c>
      <x:c r="N11" t="n">
        <x:v>3</x:v>
      </x:c>
      <x:c r="O11" t="n">
        <x:v>1</x:v>
      </x:c>
      <x:c r="P11" t="n">
        <x:v>3</x:v>
      </x:c>
      <x:c r="Q11" t="n">
        <x:v>2</x:v>
      </x:c>
      <x:c r="R11" t="n">
        <x:v>3</x:v>
      </x:c>
      <x:c r="S11" t="n">
        <x:v>2</x:v>
      </x:c>
      <x:c r="T11" t="n">
        <x:v>3</x:v>
      </x:c>
      <x:c r="U11" t="n">
        <x:v>0</x:v>
      </x:c>
      <x:c r="V11" t="n">
        <x:v>2</x:v>
      </x:c>
      <x:c r="W11" t="n">
        <x:v>2</x:v>
      </x:c>
      <x:c r="X11" t="n">
        <x:v>2</x:v>
      </x:c>
      <x:c r="Y11" t="n">
        <x:v>2</x:v>
      </x:c>
      <x:c r="Z11" t="n">
        <x:v>2</x:v>
      </x:c>
      <x:c r="AA11"/>
      <x:c r="AB11"/>
      <x:c r="AC11"/>
      <x:c r="AD11"/>
      <x:c r="AE11"/>
      <x:c r="AF11"/>
      <x:c r="AG11"/>
      <x:c r="AH11"/>
      <x:c r="AI11" t="n">
        <x:f>SUM(I11,K11,M11,O11,Q11,S11,U11,W11,Y11,AA11,AC11,AE11,AG11)</x:f>
        <x:v>13</x:v>
      </x:c>
      <x:c r="AJ11" t="n">
        <x:f>SUM(J11,L11,N11,P11,R11,T11,V11,X11,Z11,AB11,AD11,AF11,AH11)</x:f>
        <x:v>22</x:v>
      </x:c>
      <x:c r="AK11" s="2" t="n">
        <x:f>IFERROR(AI11/AJ11,0)</x:f>
        <x:v>0.5909090909090909</x:v>
      </x:c>
      <x:c r="AL11" t="n">
        <x:f>IF(E11="Adequado",1,0)</x:f>
        <x:v>0</x:v>
      </x:c>
      <x:c r="AM11" t="n">
        <x:f>IF(C11="1º ano",IF(D11="referencia",Parametros!$B$4,Parametros!$B$5),IF(D11="referencia",Parametros!$B$6,Parametros!$B$7))</x:f>
        <x:v>17</x:v>
      </x:c>
      <x:c r="AN11" t="n">
        <x:f>MAX(0,AM11-AI11)</x:f>
        <x:v>4</x:v>
      </x:c>
    </x:row>
    <x:row r="12">
      <x:c r="A12" t="str">
        <x:v>1A006</x:v>
      </x:c>
      <x:c r="B12" t="str">
        <x:v>GUSTAVO SALES MACHADO</x:v>
      </x:c>
      <x:c r="C12" t="str">
        <x:v>1º ano</x:v>
      </x:c>
      <x:c r="D12" t="str">
        <x:v>referencia</x:v>
      </x:c>
      <x:c r="E12" t="str">
        <x:v>Adequado</x:v>
      </x:c>
      <x:c r="F12" t="str">
        <x:v>Sim</x:v>
      </x:c>
      <x:c r="G12" t="str">
        <x:v>CAEd_DadosExportados.zip</x:v>
      </x:c>
      <x:c r="H12" t="str">
        <x:v>HABILIDADES_DESEMPENHO_ESTUDANTE 30-07-2026 9-16-45.csv</x:v>
      </x:c>
      <x:c r="I12" t="n">
        <x:v>1</x:v>
      </x:c>
      <x:c r="J12" t="n">
        <x:v>3</x:v>
      </x:c>
      <x:c r="K12" t="n">
        <x:v>1</x:v>
      </x:c>
      <x:c r="L12" t="n">
        <x:v>3</x:v>
      </x:c>
      <x:c r="M12" t="n">
        <x:v>3</x:v>
      </x:c>
      <x:c r="N12" t="n">
        <x:v>3</x:v>
      </x:c>
      <x:c r="O12" t="n">
        <x:v>2</x:v>
      </x:c>
      <x:c r="P12" t="n">
        <x:v>3</x:v>
      </x:c>
      <x:c r="Q12" t="n">
        <x:v>3</x:v>
      </x:c>
      <x:c r="R12" t="n">
        <x:v>3</x:v>
      </x:c>
      <x:c r="S12" t="n">
        <x:v>2</x:v>
      </x:c>
      <x:c r="T12" t="n">
        <x:v>3</x:v>
      </x:c>
      <x:c r="U12" t="n">
        <x:v>2</x:v>
      </x:c>
      <x:c r="V12" t="n">
        <x:v>2</x:v>
      </x:c>
      <x:c r="W12" t="n">
        <x:v>2</x:v>
      </x:c>
      <x:c r="X12" t="n">
        <x:v>2</x:v>
      </x:c>
      <x:c r="Y12"/>
      <x:c r="Z12"/>
      <x:c r="AA12"/>
      <x:c r="AB12"/>
      <x:c r="AC12"/>
      <x:c r="AD12"/>
      <x:c r="AE12"/>
      <x:c r="AF12"/>
      <x:c r="AG12"/>
      <x:c r="AH12"/>
      <x:c r="AI12" t="n">
        <x:f>SUM(I12,K12,M12,O12,Q12,S12,U12,W12,Y12,AA12,AC12,AE12,AG12)</x:f>
        <x:v>16</x:v>
      </x:c>
      <x:c r="AJ12" t="n">
        <x:f>SUM(J12,L12,N12,P12,R12,T12,V12,X12,Z12,AB12,AD12,AF12,AH12)</x:f>
        <x:v>22</x:v>
      </x:c>
      <x:c r="AK12" s="2" t="n">
        <x:f>IFERROR(AI12/AJ12,0)</x:f>
        <x:v>0.7272727272727273</x:v>
      </x:c>
      <x:c r="AL12" t="n">
        <x:f>IF(E12="Adequado",1,0)</x:f>
        <x:v>1</x:v>
      </x:c>
      <x:c r="AM12" t="n">
        <x:f>IF(C12="1º ano",IF(D12="referencia",Parametros!$B$4,Parametros!$B$5),IF(D12="referencia",Parametros!$B$6,Parametros!$B$7))</x:f>
        <x:v>16</x:v>
      </x:c>
      <x:c r="AN12" t="n">
        <x:f>MAX(0,AM12-AI12)</x:f>
        <x:v>0</x:v>
      </x:c>
    </x:row>
    <x:row r="13">
      <x:c r="A13" t="str">
        <x:v>1A006</x:v>
      </x:c>
      <x:c r="B13" t="str">
        <x:v>GUSTAVO SALES MACHADO</x:v>
      </x:c>
      <x:c r="C13" t="str">
        <x:v>1º ano</x:v>
      </x:c>
      <x:c r="D13" t="str">
        <x:v>contraprova</x:v>
      </x:c>
      <x:c r="E13" t="str">
        <x:v>Intermediário</x:v>
      </x:c>
      <x:c r="F13" t="str">
        <x:v>Sim</x:v>
      </x:c>
      <x:c r="G13" t="str">
        <x:v>CAEd_DadosExportados (3).zip</x:v>
      </x:c>
      <x:c r="H13" t="str">
        <x:v>HABILIDADES_DESEMPENHO_ESTUDANTE 30-07-2026 9-19-42.csv</x:v>
      </x:c>
      <x:c r="I13" t="n">
        <x:v>2</x:v>
      </x:c>
      <x:c r="J13" t="n">
        <x:v>2</x:v>
      </x:c>
      <x:c r="K13" t="n">
        <x:v>1</x:v>
      </x:c>
      <x:c r="L13" t="n">
        <x:v>2</x:v>
      </x:c>
      <x:c r="M13" t="n">
        <x:v>2</x:v>
      </x:c>
      <x:c r="N13" t="n">
        <x:v>3</x:v>
      </x:c>
      <x:c r="O13" t="n">
        <x:v>1</x:v>
      </x:c>
      <x:c r="P13" t="n">
        <x:v>3</x:v>
      </x:c>
      <x:c r="Q13" t="n">
        <x:v>1</x:v>
      </x:c>
      <x:c r="R13" t="n">
        <x:v>3</x:v>
      </x:c>
      <x:c r="S13" t="n">
        <x:v>3</x:v>
      </x:c>
      <x:c r="T13" t="n">
        <x:v>3</x:v>
      </x:c>
      <x:c r="U13" t="n">
        <x:v>2</x:v>
      </x:c>
      <x:c r="V13" t="n">
        <x:v>2</x:v>
      </x:c>
      <x:c r="W13" t="n">
        <x:v>2</x:v>
      </x:c>
      <x:c r="X13" t="n">
        <x:v>2</x:v>
      </x:c>
      <x:c r="Y13" t="n">
        <x:v>2</x:v>
      </x:c>
      <x:c r="Z13" t="n">
        <x:v>2</x:v>
      </x:c>
      <x:c r="AA13"/>
      <x:c r="AB13"/>
      <x:c r="AC13"/>
      <x:c r="AD13"/>
      <x:c r="AE13"/>
      <x:c r="AF13"/>
      <x:c r="AG13"/>
      <x:c r="AH13"/>
      <x:c r="AI13" t="n">
        <x:f>SUM(I13,K13,M13,O13,Q13,S13,U13,W13,Y13,AA13,AC13,AE13,AG13)</x:f>
        <x:v>16</x:v>
      </x:c>
      <x:c r="AJ13" t="n">
        <x:f>SUM(J13,L13,N13,P13,R13,T13,V13,X13,Z13,AB13,AD13,AF13,AH13)</x:f>
        <x:v>22</x:v>
      </x:c>
      <x:c r="AK13" s="2" t="n">
        <x:f>IFERROR(AI13/AJ13,0)</x:f>
        <x:v>0.7272727272727273</x:v>
      </x:c>
      <x:c r="AL13" t="n">
        <x:f>IF(E13="Adequado",1,0)</x:f>
        <x:v>0</x:v>
      </x:c>
      <x:c r="AM13" t="n">
        <x:f>IF(C13="1º ano",IF(D13="referencia",Parametros!$B$4,Parametros!$B$5),IF(D13="referencia",Parametros!$B$6,Parametros!$B$7))</x:f>
        <x:v>17</x:v>
      </x:c>
      <x:c r="AN13" t="n">
        <x:f>MAX(0,AM13-AI13)</x:f>
        <x:v>1</x:v>
      </x:c>
    </x:row>
    <x:row r="14">
      <x:c r="A14" t="str">
        <x:v>1A007</x:v>
      </x:c>
      <x:c r="B14" t="str">
        <x:v>ISABELLA MARTINS FEITOSA</x:v>
      </x:c>
      <x:c r="C14" t="str">
        <x:v>1º ano</x:v>
      </x:c>
      <x:c r="D14" t="str">
        <x:v>referencia</x:v>
      </x:c>
      <x:c r="E14" t="str">
        <x:v>Adequado</x:v>
      </x:c>
      <x:c r="F14" t="str">
        <x:v>Sim</x:v>
      </x:c>
      <x:c r="G14" t="str">
        <x:v>CAEd_DadosExportados.zip</x:v>
      </x:c>
      <x:c r="H14" t="str">
        <x:v>HABILIDADES_DESEMPENHO_ESTUDANTE 30-07-2026 9-16-45.csv</x:v>
      </x:c>
      <x:c r="I14" t="n">
        <x:v>3</x:v>
      </x:c>
      <x:c r="J14" t="n">
        <x:v>3</x:v>
      </x:c>
      <x:c r="K14" t="n">
        <x:v>3</x:v>
      </x:c>
      <x:c r="L14" t="n">
        <x:v>3</x:v>
      </x:c>
      <x:c r="M14" t="n">
        <x:v>3</x:v>
      </x:c>
      <x:c r="N14" t="n">
        <x:v>3</x:v>
      </x:c>
      <x:c r="O14" t="n">
        <x:v>3</x:v>
      </x:c>
      <x:c r="P14" t="n">
        <x:v>3</x:v>
      </x:c>
      <x:c r="Q14" t="n">
        <x:v>3</x:v>
      </x:c>
      <x:c r="R14" t="n">
        <x:v>3</x:v>
      </x:c>
      <x:c r="S14" t="n">
        <x:v>3</x:v>
      </x:c>
      <x:c r="T14" t="n">
        <x:v>3</x:v>
      </x:c>
      <x:c r="U14" t="n">
        <x:v>2</x:v>
      </x:c>
      <x:c r="V14" t="n">
        <x:v>2</x:v>
      </x:c>
      <x:c r="W14" t="n">
        <x:v>2</x:v>
      </x:c>
      <x:c r="X14" t="n">
        <x:v>2</x:v>
      </x:c>
      <x:c r="Y14"/>
      <x:c r="Z14"/>
      <x:c r="AA14"/>
      <x:c r="AB14"/>
      <x:c r="AC14"/>
      <x:c r="AD14"/>
      <x:c r="AE14"/>
      <x:c r="AF14"/>
      <x:c r="AG14"/>
      <x:c r="AH14"/>
      <x:c r="AI14" t="n">
        <x:f>SUM(I14,K14,M14,O14,Q14,S14,U14,W14,Y14,AA14,AC14,AE14,AG14)</x:f>
        <x:v>22</x:v>
      </x:c>
      <x:c r="AJ14" t="n">
        <x:f>SUM(J14,L14,N14,P14,R14,T14,V14,X14,Z14,AB14,AD14,AF14,AH14)</x:f>
        <x:v>22</x:v>
      </x:c>
      <x:c r="AK14" s="2" t="n">
        <x:f>IFERROR(AI14/AJ14,0)</x:f>
        <x:v>1</x:v>
      </x:c>
      <x:c r="AL14" t="n">
        <x:f>IF(E14="Adequado",1,0)</x:f>
        <x:v>1</x:v>
      </x:c>
      <x:c r="AM14" t="n">
        <x:f>IF(C14="1º ano",IF(D14="referencia",Parametros!$B$4,Parametros!$B$5),IF(D14="referencia",Parametros!$B$6,Parametros!$B$7))</x:f>
        <x:v>16</x:v>
      </x:c>
      <x:c r="AN14" t="n">
        <x:f>MAX(0,AM14-AI14)</x:f>
        <x:v>0</x:v>
      </x:c>
    </x:row>
    <x:row r="15">
      <x:c r="A15" t="str">
        <x:v>1A007</x:v>
      </x:c>
      <x:c r="B15" t="str">
        <x:v>ISABELLA MARTINS FEITOSA</x:v>
      </x:c>
      <x:c r="C15" t="str">
        <x:v>1º ano</x:v>
      </x:c>
      <x:c r="D15" t="str">
        <x:v>contraprova</x:v>
      </x:c>
      <x:c r="E15" t="str">
        <x:v>Intermediário</x:v>
      </x:c>
      <x:c r="F15" t="str">
        <x:v>Sim</x:v>
      </x:c>
      <x:c r="G15" t="str">
        <x:v>CAEd_DadosExportados (3).zip</x:v>
      </x:c>
      <x:c r="H15" t="str">
        <x:v>HABILIDADES_DESEMPENHO_ESTUDANTE 30-07-2026 9-19-42.csv</x:v>
      </x:c>
      <x:c r="I15" t="n">
        <x:v>1</x:v>
      </x:c>
      <x:c r="J15" t="n">
        <x:v>2</x:v>
      </x:c>
      <x:c r="K15" t="n">
        <x:v>1</x:v>
      </x:c>
      <x:c r="L15" t="n">
        <x:v>2</x:v>
      </x:c>
      <x:c r="M15" t="n">
        <x:v>2</x:v>
      </x:c>
      <x:c r="N15" t="n">
        <x:v>3</x:v>
      </x:c>
      <x:c r="O15" t="n">
        <x:v>1</x:v>
      </x:c>
      <x:c r="P15" t="n">
        <x:v>3</x:v>
      </x:c>
      <x:c r="Q15" t="n">
        <x:v>2</x:v>
      </x:c>
      <x:c r="R15" t="n">
        <x:v>3</x:v>
      </x:c>
      <x:c r="S15" t="n">
        <x:v>3</x:v>
      </x:c>
      <x:c r="T15" t="n">
        <x:v>3</x:v>
      </x:c>
      <x:c r="U15" t="n">
        <x:v>1</x:v>
      </x:c>
      <x:c r="V15" t="n">
        <x:v>2</x:v>
      </x:c>
      <x:c r="W15" t="n">
        <x:v>2</x:v>
      </x:c>
      <x:c r="X15" t="n">
        <x:v>2</x:v>
      </x:c>
      <x:c r="Y15" t="n">
        <x:v>2</x:v>
      </x:c>
      <x:c r="Z15" t="n">
        <x:v>2</x:v>
      </x:c>
      <x:c r="AA15"/>
      <x:c r="AB15"/>
      <x:c r="AC15"/>
      <x:c r="AD15"/>
      <x:c r="AE15"/>
      <x:c r="AF15"/>
      <x:c r="AG15"/>
      <x:c r="AH15"/>
      <x:c r="AI15" t="n">
        <x:f>SUM(I15,K15,M15,O15,Q15,S15,U15,W15,Y15,AA15,AC15,AE15,AG15)</x:f>
        <x:v>15</x:v>
      </x:c>
      <x:c r="AJ15" t="n">
        <x:f>SUM(J15,L15,N15,P15,R15,T15,V15,X15,Z15,AB15,AD15,AF15,AH15)</x:f>
        <x:v>22</x:v>
      </x:c>
      <x:c r="AK15" s="2" t="n">
        <x:f>IFERROR(AI15/AJ15,0)</x:f>
        <x:v>0.6818181818181818</x:v>
      </x:c>
      <x:c r="AL15" t="n">
        <x:f>IF(E15="Adequado",1,0)</x:f>
        <x:v>0</x:v>
      </x:c>
      <x:c r="AM15" t="n">
        <x:f>IF(C15="1º ano",IF(D15="referencia",Parametros!$B$4,Parametros!$B$5),IF(D15="referencia",Parametros!$B$6,Parametros!$B$7))</x:f>
        <x:v>17</x:v>
      </x:c>
      <x:c r="AN15" t="n">
        <x:f>MAX(0,AM15-AI15)</x:f>
        <x:v>2</x:v>
      </x:c>
    </x:row>
    <x:row r="16">
      <x:c r="A16" t="str">
        <x:v>1A008</x:v>
      </x:c>
      <x:c r="B16" t="str">
        <x:v>ISAC LUCCA FERNANDES MARTINS</x:v>
      </x:c>
      <x:c r="C16" t="str">
        <x:v>1º ano</x:v>
      </x:c>
      <x:c r="D16" t="str">
        <x:v>referencia</x:v>
      </x:c>
      <x:c r="E16" t="str">
        <x:v>Intermediário</x:v>
      </x:c>
      <x:c r="F16" t="str">
        <x:v>Sim</x:v>
      </x:c>
      <x:c r="G16" t="str">
        <x:v>CAEd_DadosExportados.zip</x:v>
      </x:c>
      <x:c r="H16" t="str">
        <x:v>HABILIDADES_DESEMPENHO_ESTUDANTE 30-07-2026 9-16-45.csv</x:v>
      </x:c>
      <x:c r="I16" t="n">
        <x:v>3</x:v>
      </x:c>
      <x:c r="J16" t="n">
        <x:v>3</x:v>
      </x:c>
      <x:c r="K16" t="n">
        <x:v>3</x:v>
      </x:c>
      <x:c r="L16" t="n">
        <x:v>3</x:v>
      </x:c>
      <x:c r="M16" t="n">
        <x:v>1</x:v>
      </x:c>
      <x:c r="N16" t="n">
        <x:v>3</x:v>
      </x:c>
      <x:c r="O16" t="n">
        <x:v>0</x:v>
      </x:c>
      <x:c r="P16" t="n">
        <x:v>3</x:v>
      </x:c>
      <x:c r="Q16" t="n">
        <x:v>3</x:v>
      </x:c>
      <x:c r="R16" t="n">
        <x:v>3</x:v>
      </x:c>
      <x:c r="S16" t="n">
        <x:v>2</x:v>
      </x:c>
      <x:c r="T16" t="n">
        <x:v>3</x:v>
      </x:c>
      <x:c r="U16" t="n">
        <x:v>0</x:v>
      </x:c>
      <x:c r="V16" t="n">
        <x:v>2</x:v>
      </x:c>
      <x:c r="W16" t="n">
        <x:v>2</x:v>
      </x:c>
      <x:c r="X16" t="n">
        <x:v>2</x:v>
      </x:c>
      <x:c r="Y16"/>
      <x:c r="Z16"/>
      <x:c r="AA16"/>
      <x:c r="AB16"/>
      <x:c r="AC16"/>
      <x:c r="AD16"/>
      <x:c r="AE16"/>
      <x:c r="AF16"/>
      <x:c r="AG16"/>
      <x:c r="AH16"/>
      <x:c r="AI16" t="n">
        <x:f>SUM(I16,K16,M16,O16,Q16,S16,U16,W16,Y16,AA16,AC16,AE16,AG16)</x:f>
        <x:v>14</x:v>
      </x:c>
      <x:c r="AJ16" t="n">
        <x:f>SUM(J16,L16,N16,P16,R16,T16,V16,X16,Z16,AB16,AD16,AF16,AH16)</x:f>
        <x:v>22</x:v>
      </x:c>
      <x:c r="AK16" s="2" t="n">
        <x:f>IFERROR(AI16/AJ16,0)</x:f>
        <x:v>0.6363636363636364</x:v>
      </x:c>
      <x:c r="AL16" t="n">
        <x:f>IF(E16="Adequado",1,0)</x:f>
        <x:v>0</x:v>
      </x:c>
      <x:c r="AM16" t="n">
        <x:f>IF(C16="1º ano",IF(D16="referencia",Parametros!$B$4,Parametros!$B$5),IF(D16="referencia",Parametros!$B$6,Parametros!$B$7))</x:f>
        <x:v>16</x:v>
      </x:c>
      <x:c r="AN16" t="n">
        <x:f>MAX(0,AM16-AI16)</x:f>
        <x:v>2</x:v>
      </x:c>
    </x:row>
    <x:row r="17">
      <x:c r="A17" t="str">
        <x:v>1A008</x:v>
      </x:c>
      <x:c r="B17" t="str">
        <x:v>ISAC LUCCA FERNANDES MARTINS</x:v>
      </x:c>
      <x:c r="C17" t="str">
        <x:v>1º ano</x:v>
      </x:c>
      <x:c r="D17" t="str">
        <x:v>contraprova</x:v>
      </x:c>
      <x:c r="E17" t="str">
        <x:v>Adequado</x:v>
      </x:c>
      <x:c r="F17" t="str">
        <x:v>Sim</x:v>
      </x:c>
      <x:c r="G17" t="str">
        <x:v>CAEd_DadosExportados (3).zip</x:v>
      </x:c>
      <x:c r="H17" t="str">
        <x:v>HABILIDADES_DESEMPENHO_ESTUDANTE 30-07-2026 9-19-42.csv</x:v>
      </x:c>
      <x:c r="I17" t="n">
        <x:v>2</x:v>
      </x:c>
      <x:c r="J17" t="n">
        <x:v>2</x:v>
      </x:c>
      <x:c r="K17" t="n">
        <x:v>2</x:v>
      </x:c>
      <x:c r="L17" t="n">
        <x:v>2</x:v>
      </x:c>
      <x:c r="M17" t="n">
        <x:v>3</x:v>
      </x:c>
      <x:c r="N17" t="n">
        <x:v>3</x:v>
      </x:c>
      <x:c r="O17" t="n">
        <x:v>3</x:v>
      </x:c>
      <x:c r="P17" t="n">
        <x:v>3</x:v>
      </x:c>
      <x:c r="Q17" t="n">
        <x:v>1</x:v>
      </x:c>
      <x:c r="R17" t="n">
        <x:v>3</x:v>
      </x:c>
      <x:c r="S17" t="n">
        <x:v>2</x:v>
      </x:c>
      <x:c r="T17" t="n">
        <x:v>3</x:v>
      </x:c>
      <x:c r="U17" t="n">
        <x:v>1</x:v>
      </x:c>
      <x:c r="V17" t="n">
        <x:v>2</x:v>
      </x:c>
      <x:c r="W17" t="n">
        <x:v>2</x:v>
      </x:c>
      <x:c r="X17" t="n">
        <x:v>2</x:v>
      </x:c>
      <x:c r="Y17" t="n">
        <x:v>2</x:v>
      </x:c>
      <x:c r="Z17" t="n">
        <x:v>2</x:v>
      </x:c>
      <x:c r="AA17"/>
      <x:c r="AB17"/>
      <x:c r="AC17"/>
      <x:c r="AD17"/>
      <x:c r="AE17"/>
      <x:c r="AF17"/>
      <x:c r="AG17"/>
      <x:c r="AH17"/>
      <x:c r="AI17" t="n">
        <x:f>SUM(I17,K17,M17,O17,Q17,S17,U17,W17,Y17,AA17,AC17,AE17,AG17)</x:f>
        <x:v>18</x:v>
      </x:c>
      <x:c r="AJ17" t="n">
        <x:f>SUM(J17,L17,N17,P17,R17,T17,V17,X17,Z17,AB17,AD17,AF17,AH17)</x:f>
        <x:v>22</x:v>
      </x:c>
      <x:c r="AK17" s="2" t="n">
        <x:f>IFERROR(AI17/AJ17,0)</x:f>
        <x:v>0.8181818181818182</x:v>
      </x:c>
      <x:c r="AL17" t="n">
        <x:f>IF(E17="Adequado",1,0)</x:f>
        <x:v>1</x:v>
      </x:c>
      <x:c r="AM17" t="n">
        <x:f>IF(C17="1º ano",IF(D17="referencia",Parametros!$B$4,Parametros!$B$5),IF(D17="referencia",Parametros!$B$6,Parametros!$B$7))</x:f>
        <x:v>17</x:v>
      </x:c>
      <x:c r="AN17" t="n">
        <x:f>MAX(0,AM17-AI17)</x:f>
        <x:v>0</x:v>
      </x:c>
    </x:row>
    <x:row r="18">
      <x:c r="A18" t="str">
        <x:v>1A009</x:v>
      </x:c>
      <x:c r="B18" t="str">
        <x:v>ISIS GOMES MESQUITA</x:v>
      </x:c>
      <x:c r="C18" t="str">
        <x:v>1º ano</x:v>
      </x:c>
      <x:c r="D18" t="str">
        <x:v>referencia</x:v>
      </x:c>
      <x:c r="E18" t="str">
        <x:v>Defasagem</x:v>
      </x:c>
      <x:c r="F18" t="str">
        <x:v>Sim</x:v>
      </x:c>
      <x:c r="G18" t="str">
        <x:v>CAEd_DadosExportados.zip</x:v>
      </x:c>
      <x:c r="H18" t="str">
        <x:v>HABILIDADES_DESEMPENHO_ESTUDANTE 30-07-2026 9-16-45.csv</x:v>
      </x:c>
      <x:c r="I18" t="n">
        <x:v>0</x:v>
      </x:c>
      <x:c r="J18" t="n">
        <x:v>3</x:v>
      </x:c>
      <x:c r="K18" t="n">
        <x:v>2</x:v>
      </x:c>
      <x:c r="L18" t="n">
        <x:v>3</x:v>
      </x:c>
      <x:c r="M18" t="n">
        <x:v>2</x:v>
      </x:c>
      <x:c r="N18" t="n">
        <x:v>3</x:v>
      </x:c>
      <x:c r="O18" t="n">
        <x:v>1</x:v>
      </x:c>
      <x:c r="P18" t="n">
        <x:v>3</x:v>
      </x:c>
      <x:c r="Q18" t="n">
        <x:v>2</x:v>
      </x:c>
      <x:c r="R18" t="n">
        <x:v>3</x:v>
      </x:c>
      <x:c r="S18" t="n">
        <x:v>2</x:v>
      </x:c>
      <x:c r="T18" t="n">
        <x:v>3</x:v>
      </x:c>
      <x:c r="U18" t="n">
        <x:v>0</x:v>
      </x:c>
      <x:c r="V18" t="n">
        <x:v>2</x:v>
      </x:c>
      <x:c r="W18" t="n">
        <x:v>2</x:v>
      </x:c>
      <x:c r="X18" t="n">
        <x:v>2</x:v>
      </x:c>
      <x:c r="Y18"/>
      <x:c r="Z18"/>
      <x:c r="AA18"/>
      <x:c r="AB18"/>
      <x:c r="AC18"/>
      <x:c r="AD18"/>
      <x:c r="AE18"/>
      <x:c r="AF18"/>
      <x:c r="AG18"/>
      <x:c r="AH18"/>
      <x:c r="AI18" t="n">
        <x:f>SUM(I18,K18,M18,O18,Q18,S18,U18,W18,Y18,AA18,AC18,AE18,AG18)</x:f>
        <x:v>11</x:v>
      </x:c>
      <x:c r="AJ18" t="n">
        <x:f>SUM(J18,L18,N18,P18,R18,T18,V18,X18,Z18,AB18,AD18,AF18,AH18)</x:f>
        <x:v>22</x:v>
      </x:c>
      <x:c r="AK18" s="2" t="n">
        <x:f>IFERROR(AI18/AJ18,0)</x:f>
        <x:v>0.5</x:v>
      </x:c>
      <x:c r="AL18" t="n">
        <x:f>IF(E18="Adequado",1,0)</x:f>
        <x:v>0</x:v>
      </x:c>
      <x:c r="AM18" t="n">
        <x:f>IF(C18="1º ano",IF(D18="referencia",Parametros!$B$4,Parametros!$B$5),IF(D18="referencia",Parametros!$B$6,Parametros!$B$7))</x:f>
        <x:v>16</x:v>
      </x:c>
      <x:c r="AN18" t="n">
        <x:f>MAX(0,AM18-AI18)</x:f>
        <x:v>5</x:v>
      </x:c>
    </x:row>
    <x:row r="19">
      <x:c r="A19" t="str">
        <x:v>1A009</x:v>
      </x:c>
      <x:c r="B19" t="str">
        <x:v>ISIS GOMES MESQUITA</x:v>
      </x:c>
      <x:c r="C19" t="str">
        <x:v>1º ano</x:v>
      </x:c>
      <x:c r="D19" t="str">
        <x:v>contraprova</x:v>
      </x:c>
      <x:c r="E19" t="str">
        <x:v>Intermediário</x:v>
      </x:c>
      <x:c r="F19" t="str">
        <x:v>Sim</x:v>
      </x:c>
      <x:c r="G19" t="str">
        <x:v>CAEd_DadosExportados (3).zip</x:v>
      </x:c>
      <x:c r="H19" t="str">
        <x:v>HABILIDADES_DESEMPENHO_ESTUDANTE 30-07-2026 9-19-42.csv</x:v>
      </x:c>
      <x:c r="I19" t="n">
        <x:v>2</x:v>
      </x:c>
      <x:c r="J19" t="n">
        <x:v>2</x:v>
      </x:c>
      <x:c r="K19" t="n">
        <x:v>2</x:v>
      </x:c>
      <x:c r="L19" t="n">
        <x:v>2</x:v>
      </x:c>
      <x:c r="M19" t="n">
        <x:v>2</x:v>
      </x:c>
      <x:c r="N19" t="n">
        <x:v>3</x:v>
      </x:c>
      <x:c r="O19" t="n">
        <x:v>1</x:v>
      </x:c>
      <x:c r="P19" t="n">
        <x:v>3</x:v>
      </x:c>
      <x:c r="Q19" t="n">
        <x:v>1</x:v>
      </x:c>
      <x:c r="R19" t="n">
        <x:v>3</x:v>
      </x:c>
      <x:c r="S19" t="n">
        <x:v>2</x:v>
      </x:c>
      <x:c r="T19" t="n">
        <x:v>3</x:v>
      </x:c>
      <x:c r="U19" t="n">
        <x:v>2</x:v>
      </x:c>
      <x:c r="V19" t="n">
        <x:v>2</x:v>
      </x:c>
      <x:c r="W19" t="n">
        <x:v>1</x:v>
      </x:c>
      <x:c r="X19" t="n">
        <x:v>2</x:v>
      </x:c>
      <x:c r="Y19" t="n">
        <x:v>2</x:v>
      </x:c>
      <x:c r="Z19" t="n">
        <x:v>2</x:v>
      </x:c>
      <x:c r="AA19"/>
      <x:c r="AB19"/>
      <x:c r="AC19"/>
      <x:c r="AD19"/>
      <x:c r="AE19"/>
      <x:c r="AF19"/>
      <x:c r="AG19"/>
      <x:c r="AH19"/>
      <x:c r="AI19" t="n">
        <x:f>SUM(I19,K19,M19,O19,Q19,S19,U19,W19,Y19,AA19,AC19,AE19,AG19)</x:f>
        <x:v>15</x:v>
      </x:c>
      <x:c r="AJ19" t="n">
        <x:f>SUM(J19,L19,N19,P19,R19,T19,V19,X19,Z19,AB19,AD19,AF19,AH19)</x:f>
        <x:v>22</x:v>
      </x:c>
      <x:c r="AK19" s="2" t="n">
        <x:f>IFERROR(AI19/AJ19,0)</x:f>
        <x:v>0.6818181818181818</x:v>
      </x:c>
      <x:c r="AL19" t="n">
        <x:f>IF(E19="Adequado",1,0)</x:f>
        <x:v>0</x:v>
      </x:c>
      <x:c r="AM19" t="n">
        <x:f>IF(C19="1º ano",IF(D19="referencia",Parametros!$B$4,Parametros!$B$5),IF(D19="referencia",Parametros!$B$6,Parametros!$B$7))</x:f>
        <x:v>17</x:v>
      </x:c>
      <x:c r="AN19" t="n">
        <x:f>MAX(0,AM19-AI19)</x:f>
        <x:v>2</x:v>
      </x:c>
    </x:row>
    <x:row r="20">
      <x:c r="A20" t="str">
        <x:v>1A010</x:v>
      </x:c>
      <x:c r="B20" t="str">
        <x:v>ISIS KETLEN SOUSA DA SILVA</x:v>
      </x:c>
      <x:c r="C20" t="str">
        <x:v>1º ano</x:v>
      </x:c>
      <x:c r="D20" t="str">
        <x:v>referencia</x:v>
      </x:c>
      <x:c r="E20" t="str">
        <x:v>Intermediário</x:v>
      </x:c>
      <x:c r="F20" t="str">
        <x:v>Sim</x:v>
      </x:c>
      <x:c r="G20" t="str">
        <x:v>CAEd_DadosExportados.zip</x:v>
      </x:c>
      <x:c r="H20" t="str">
        <x:v>HABILIDADES_DESEMPENHO_ESTUDANTE 30-07-2026 9-16-45.csv</x:v>
      </x:c>
      <x:c r="I20" t="n">
        <x:v>1</x:v>
      </x:c>
      <x:c r="J20" t="n">
        <x:v>3</x:v>
      </x:c>
      <x:c r="K20" t="n">
        <x:v>2</x:v>
      </x:c>
      <x:c r="L20" t="n">
        <x:v>3</x:v>
      </x:c>
      <x:c r="M20" t="n">
        <x:v>1</x:v>
      </x:c>
      <x:c r="N20" t="n">
        <x:v>3</x:v>
      </x:c>
      <x:c r="O20" t="n">
        <x:v>2</x:v>
      </x:c>
      <x:c r="P20" t="n">
        <x:v>3</x:v>
      </x:c>
      <x:c r="Q20" t="n">
        <x:v>3</x:v>
      </x:c>
      <x:c r="R20" t="n">
        <x:v>3</x:v>
      </x:c>
      <x:c r="S20" t="n">
        <x:v>2</x:v>
      </x:c>
      <x:c r="T20" t="n">
        <x:v>3</x:v>
      </x:c>
      <x:c r="U20" t="n">
        <x:v>1</x:v>
      </x:c>
      <x:c r="V20" t="n">
        <x:v>2</x:v>
      </x:c>
      <x:c r="W20" t="n">
        <x:v>1</x:v>
      </x:c>
      <x:c r="X20" t="n">
        <x:v>2</x:v>
      </x:c>
      <x:c r="Y20"/>
      <x:c r="Z20"/>
      <x:c r="AA20"/>
      <x:c r="AB20"/>
      <x:c r="AC20"/>
      <x:c r="AD20"/>
      <x:c r="AE20"/>
      <x:c r="AF20"/>
      <x:c r="AG20"/>
      <x:c r="AH20"/>
      <x:c r="AI20" t="n">
        <x:f>SUM(I20,K20,M20,O20,Q20,S20,U20,W20,Y20,AA20,AC20,AE20,AG20)</x:f>
        <x:v>13</x:v>
      </x:c>
      <x:c r="AJ20" t="n">
        <x:f>SUM(J20,L20,N20,P20,R20,T20,V20,X20,Z20,AB20,AD20,AF20,AH20)</x:f>
        <x:v>22</x:v>
      </x:c>
      <x:c r="AK20" s="2" t="n">
        <x:f>IFERROR(AI20/AJ20,0)</x:f>
        <x:v>0.5909090909090909</x:v>
      </x:c>
      <x:c r="AL20" t="n">
        <x:f>IF(E20="Adequado",1,0)</x:f>
        <x:v>0</x:v>
      </x:c>
      <x:c r="AM20" t="n">
        <x:f>IF(C20="1º ano",IF(D20="referencia",Parametros!$B$4,Parametros!$B$5),IF(D20="referencia",Parametros!$B$6,Parametros!$B$7))</x:f>
        <x:v>16</x:v>
      </x:c>
      <x:c r="AN20" t="n">
        <x:f>MAX(0,AM20-AI20)</x:f>
        <x:v>3</x:v>
      </x:c>
    </x:row>
    <x:row r="21">
      <x:c r="A21" t="str">
        <x:v>1A010</x:v>
      </x:c>
      <x:c r="B21" t="str">
        <x:v>ISIS KETLEN SOUSA DA SILVA</x:v>
      </x:c>
      <x:c r="C21" t="str">
        <x:v>1º ano</x:v>
      </x:c>
      <x:c r="D21" t="str">
        <x:v>contraprova</x:v>
      </x:c>
      <x:c r="E21" t="str">
        <x:v>Intermediário</x:v>
      </x:c>
      <x:c r="F21" t="str">
        <x:v>Sim</x:v>
      </x:c>
      <x:c r="G21" t="str">
        <x:v>CAEd_DadosExportados (3).zip</x:v>
      </x:c>
      <x:c r="H21" t="str">
        <x:v>HABILIDADES_DESEMPENHO_ESTUDANTE 30-07-2026 9-19-42.csv</x:v>
      </x:c>
      <x:c r="I21" t="n">
        <x:v>1</x:v>
      </x:c>
      <x:c r="J21" t="n">
        <x:v>2</x:v>
      </x:c>
      <x:c r="K21" t="n">
        <x:v>1</x:v>
      </x:c>
      <x:c r="L21" t="n">
        <x:v>2</x:v>
      </x:c>
      <x:c r="M21" t="n">
        <x:v>2</x:v>
      </x:c>
      <x:c r="N21" t="n">
        <x:v>3</x:v>
      </x:c>
      <x:c r="O21" t="n">
        <x:v>1</x:v>
      </x:c>
      <x:c r="P21" t="n">
        <x:v>3</x:v>
      </x:c>
      <x:c r="Q21" t="n">
        <x:v>2</x:v>
      </x:c>
      <x:c r="R21" t="n">
        <x:v>3</x:v>
      </x:c>
      <x:c r="S21" t="n">
        <x:v>2</x:v>
      </x:c>
      <x:c r="T21" t="n">
        <x:v>3</x:v>
      </x:c>
      <x:c r="U21" t="n">
        <x:v>0</x:v>
      </x:c>
      <x:c r="V21" t="n">
        <x:v>2</x:v>
      </x:c>
      <x:c r="W21" t="n">
        <x:v>2</x:v>
      </x:c>
      <x:c r="X21" t="n">
        <x:v>2</x:v>
      </x:c>
      <x:c r="Y21" t="n">
        <x:v>2</x:v>
      </x:c>
      <x:c r="Z21" t="n">
        <x:v>2</x:v>
      </x:c>
      <x:c r="AA21"/>
      <x:c r="AB21"/>
      <x:c r="AC21"/>
      <x:c r="AD21"/>
      <x:c r="AE21"/>
      <x:c r="AF21"/>
      <x:c r="AG21"/>
      <x:c r="AH21"/>
      <x:c r="AI21" t="n">
        <x:f>SUM(I21,K21,M21,O21,Q21,S21,U21,W21,Y21,AA21,AC21,AE21,AG21)</x:f>
        <x:v>13</x:v>
      </x:c>
      <x:c r="AJ21" t="n">
        <x:f>SUM(J21,L21,N21,P21,R21,T21,V21,X21,Z21,AB21,AD21,AF21,AH21)</x:f>
        <x:v>22</x:v>
      </x:c>
      <x:c r="AK21" s="2" t="n">
        <x:f>IFERROR(AI21/AJ21,0)</x:f>
        <x:v>0.5909090909090909</x:v>
      </x:c>
      <x:c r="AL21" t="n">
        <x:f>IF(E21="Adequado",1,0)</x:f>
        <x:v>0</x:v>
      </x:c>
      <x:c r="AM21" t="n">
        <x:f>IF(C21="1º ano",IF(D21="referencia",Parametros!$B$4,Parametros!$B$5),IF(D21="referencia",Parametros!$B$6,Parametros!$B$7))</x:f>
        <x:v>17</x:v>
      </x:c>
      <x:c r="AN21" t="n">
        <x:f>MAX(0,AM21-AI21)</x:f>
        <x:v>4</x:v>
      </x:c>
    </x:row>
    <x:row r="22">
      <x:c r="A22" t="str">
        <x:v>1A011</x:v>
      </x:c>
      <x:c r="B22" t="str">
        <x:v>JOSE YHUDY BENICIO FERREIRA DE ANDRADE</x:v>
      </x:c>
      <x:c r="C22" t="str">
        <x:v>1º ano</x:v>
      </x:c>
      <x:c r="D22" t="str">
        <x:v>referencia</x:v>
      </x:c>
      <x:c r="E22" t="str">
        <x:v>Adequado</x:v>
      </x:c>
      <x:c r="F22" t="str">
        <x:v>Sim</x:v>
      </x:c>
      <x:c r="G22" t="str">
        <x:v>CAEd_DadosExportados.zip</x:v>
      </x:c>
      <x:c r="H22" t="str">
        <x:v>HABILIDADES_DESEMPENHO_ESTUDANTE 30-07-2026 9-16-45.csv</x:v>
      </x:c>
      <x:c r="I22" t="n">
        <x:v>3</x:v>
      </x:c>
      <x:c r="J22" t="n">
        <x:v>3</x:v>
      </x:c>
      <x:c r="K22" t="n">
        <x:v>3</x:v>
      </x:c>
      <x:c r="L22" t="n">
        <x:v>3</x:v>
      </x:c>
      <x:c r="M22" t="n">
        <x:v>3</x:v>
      </x:c>
      <x:c r="N22" t="n">
        <x:v>3</x:v>
      </x:c>
      <x:c r="O22" t="n">
        <x:v>3</x:v>
      </x:c>
      <x:c r="P22" t="n">
        <x:v>3</x:v>
      </x:c>
      <x:c r="Q22" t="n">
        <x:v>3</x:v>
      </x:c>
      <x:c r="R22" t="n">
        <x:v>3</x:v>
      </x:c>
      <x:c r="S22" t="n">
        <x:v>2</x:v>
      </x:c>
      <x:c r="T22" t="n">
        <x:v>3</x:v>
      </x:c>
      <x:c r="U22" t="n">
        <x:v>2</x:v>
      </x:c>
      <x:c r="V22" t="n">
        <x:v>2</x:v>
      </x:c>
      <x:c r="W22" t="n">
        <x:v>2</x:v>
      </x:c>
      <x:c r="X22" t="n">
        <x:v>2</x:v>
      </x:c>
      <x:c r="Y22"/>
      <x:c r="Z22"/>
      <x:c r="AA22"/>
      <x:c r="AB22"/>
      <x:c r="AC22"/>
      <x:c r="AD22"/>
      <x:c r="AE22"/>
      <x:c r="AF22"/>
      <x:c r="AG22"/>
      <x:c r="AH22"/>
      <x:c r="AI22" t="n">
        <x:f>SUM(I22,K22,M22,O22,Q22,S22,U22,W22,Y22,AA22,AC22,AE22,AG22)</x:f>
        <x:v>21</x:v>
      </x:c>
      <x:c r="AJ22" t="n">
        <x:f>SUM(J22,L22,N22,P22,R22,T22,V22,X22,Z22,AB22,AD22,AF22,AH22)</x:f>
        <x:v>22</x:v>
      </x:c>
      <x:c r="AK22" s="2" t="n">
        <x:f>IFERROR(AI22/AJ22,0)</x:f>
        <x:v>0.9545454545454546</x:v>
      </x:c>
      <x:c r="AL22" t="n">
        <x:f>IF(E22="Adequado",1,0)</x:f>
        <x:v>1</x:v>
      </x:c>
      <x:c r="AM22" t="n">
        <x:f>IF(C22="1º ano",IF(D22="referencia",Parametros!$B$4,Parametros!$B$5),IF(D22="referencia",Parametros!$B$6,Parametros!$B$7))</x:f>
        <x:v>16</x:v>
      </x:c>
      <x:c r="AN22" t="n">
        <x:f>MAX(0,AM22-AI22)</x:f>
        <x:v>0</x:v>
      </x:c>
    </x:row>
    <x:row r="23">
      <x:c r="A23" t="str">
        <x:v>1A011</x:v>
      </x:c>
      <x:c r="B23" t="str">
        <x:v>JOSE YHUDY BENICIO FERREIRA DE ANDRADE</x:v>
      </x:c>
      <x:c r="C23" t="str">
        <x:v>1º ano</x:v>
      </x:c>
      <x:c r="D23" t="str">
        <x:v>contraprova</x:v>
      </x:c>
      <x:c r="E23" t="str">
        <x:v>Intermediário</x:v>
      </x:c>
      <x:c r="F23" t="str">
        <x:v>Sim</x:v>
      </x:c>
      <x:c r="G23" t="str">
        <x:v>CAEd_DadosExportados (3).zip</x:v>
      </x:c>
      <x:c r="H23" t="str">
        <x:v>HABILIDADES_DESEMPENHO_ESTUDANTE 30-07-2026 9-19-42.csv</x:v>
      </x:c>
      <x:c r="I23" t="n">
        <x:v>1</x:v>
      </x:c>
      <x:c r="J23" t="n">
        <x:v>2</x:v>
      </x:c>
      <x:c r="K23" t="n">
        <x:v>2</x:v>
      </x:c>
      <x:c r="L23" t="n">
        <x:v>2</x:v>
      </x:c>
      <x:c r="M23" t="n">
        <x:v>3</x:v>
      </x:c>
      <x:c r="N23" t="n">
        <x:v>3</x:v>
      </x:c>
      <x:c r="O23" t="n">
        <x:v>0</x:v>
      </x:c>
      <x:c r="P23" t="n">
        <x:v>3</x:v>
      </x:c>
      <x:c r="Q23" t="n">
        <x:v>1</x:v>
      </x:c>
      <x:c r="R23" t="n">
        <x:v>3</x:v>
      </x:c>
      <x:c r="S23" t="n">
        <x:v>3</x:v>
      </x:c>
      <x:c r="T23" t="n">
        <x:v>3</x:v>
      </x:c>
      <x:c r="U23" t="n">
        <x:v>1</x:v>
      </x:c>
      <x:c r="V23" t="n">
        <x:v>2</x:v>
      </x:c>
      <x:c r="W23" t="n">
        <x:v>2</x:v>
      </x:c>
      <x:c r="X23" t="n">
        <x:v>2</x:v>
      </x:c>
      <x:c r="Y23" t="n">
        <x:v>2</x:v>
      </x:c>
      <x:c r="Z23" t="n">
        <x:v>2</x:v>
      </x:c>
      <x:c r="AA23"/>
      <x:c r="AB23"/>
      <x:c r="AC23"/>
      <x:c r="AD23"/>
      <x:c r="AE23"/>
      <x:c r="AF23"/>
      <x:c r="AG23"/>
      <x:c r="AH23"/>
      <x:c r="AI23" t="n">
        <x:f>SUM(I23,K23,M23,O23,Q23,S23,U23,W23,Y23,AA23,AC23,AE23,AG23)</x:f>
        <x:v>15</x:v>
      </x:c>
      <x:c r="AJ23" t="n">
        <x:f>SUM(J23,L23,N23,P23,R23,T23,V23,X23,Z23,AB23,AD23,AF23,AH23)</x:f>
        <x:v>22</x:v>
      </x:c>
      <x:c r="AK23" s="2" t="n">
        <x:f>IFERROR(AI23/AJ23,0)</x:f>
        <x:v>0.6818181818181818</x:v>
      </x:c>
      <x:c r="AL23" t="n">
        <x:f>IF(E23="Adequado",1,0)</x:f>
        <x:v>0</x:v>
      </x:c>
      <x:c r="AM23" t="n">
        <x:f>IF(C23="1º ano",IF(D23="referencia",Parametros!$B$4,Parametros!$B$5),IF(D23="referencia",Parametros!$B$6,Parametros!$B$7))</x:f>
        <x:v>17</x:v>
      </x:c>
      <x:c r="AN23" t="n">
        <x:f>MAX(0,AM23-AI23)</x:f>
        <x:v>2</x:v>
      </x:c>
    </x:row>
    <x:row r="24">
      <x:c r="A24" t="str">
        <x:v>1A012</x:v>
      </x:c>
      <x:c r="B24" t="str">
        <x:v>LIVYA MARIA ALVES MELO</x:v>
      </x:c>
      <x:c r="C24" t="str">
        <x:v>1º ano</x:v>
      </x:c>
      <x:c r="D24" t="str">
        <x:v>referencia</x:v>
      </x:c>
      <x:c r="E24" t="str">
        <x:v>Adequado</x:v>
      </x:c>
      <x:c r="F24" t="str">
        <x:v>Sim</x:v>
      </x:c>
      <x:c r="G24" t="str">
        <x:v>CAEd_DadosExportados.zip</x:v>
      </x:c>
      <x:c r="H24" t="str">
        <x:v>HABILIDADES_DESEMPENHO_ESTUDANTE 30-07-2026 9-16-45.csv</x:v>
      </x:c>
      <x:c r="I24" t="n">
        <x:v>3</x:v>
      </x:c>
      <x:c r="J24" t="n">
        <x:v>3</x:v>
      </x:c>
      <x:c r="K24" t="n">
        <x:v>3</x:v>
      </x:c>
      <x:c r="L24" t="n">
        <x:v>3</x:v>
      </x:c>
      <x:c r="M24" t="n">
        <x:v>3</x:v>
      </x:c>
      <x:c r="N24" t="n">
        <x:v>3</x:v>
      </x:c>
      <x:c r="O24" t="n">
        <x:v>3</x:v>
      </x:c>
      <x:c r="P24" t="n">
        <x:v>3</x:v>
      </x:c>
      <x:c r="Q24" t="n">
        <x:v>3</x:v>
      </x:c>
      <x:c r="R24" t="n">
        <x:v>3</x:v>
      </x:c>
      <x:c r="S24" t="n">
        <x:v>3</x:v>
      </x:c>
      <x:c r="T24" t="n">
        <x:v>3</x:v>
      </x:c>
      <x:c r="U24" t="n">
        <x:v>2</x:v>
      </x:c>
      <x:c r="V24" t="n">
        <x:v>2</x:v>
      </x:c>
      <x:c r="W24" t="n">
        <x:v>2</x:v>
      </x:c>
      <x:c r="X24" t="n">
        <x:v>2</x:v>
      </x:c>
      <x:c r="Y24"/>
      <x:c r="Z24"/>
      <x:c r="AA24"/>
      <x:c r="AB24"/>
      <x:c r="AC24"/>
      <x:c r="AD24"/>
      <x:c r="AE24"/>
      <x:c r="AF24"/>
      <x:c r="AG24"/>
      <x:c r="AH24"/>
      <x:c r="AI24" t="n">
        <x:f>SUM(I24,K24,M24,O24,Q24,S24,U24,W24,Y24,AA24,AC24,AE24,AG24)</x:f>
        <x:v>22</x:v>
      </x:c>
      <x:c r="AJ24" t="n">
        <x:f>SUM(J24,L24,N24,P24,R24,T24,V24,X24,Z24,AB24,AD24,AF24,AH24)</x:f>
        <x:v>22</x:v>
      </x:c>
      <x:c r="AK24" s="2" t="n">
        <x:f>IFERROR(AI24/AJ24,0)</x:f>
        <x:v>1</x:v>
      </x:c>
      <x:c r="AL24" t="n">
        <x:f>IF(E24="Adequado",1,0)</x:f>
        <x:v>1</x:v>
      </x:c>
      <x:c r="AM24" t="n">
        <x:f>IF(C24="1º ano",IF(D24="referencia",Parametros!$B$4,Parametros!$B$5),IF(D24="referencia",Parametros!$B$6,Parametros!$B$7))</x:f>
        <x:v>16</x:v>
      </x:c>
      <x:c r="AN24" t="n">
        <x:f>MAX(0,AM24-AI24)</x:f>
        <x:v>0</x:v>
      </x:c>
    </x:row>
    <x:row r="25">
      <x:c r="A25" t="str">
        <x:v>1A012</x:v>
      </x:c>
      <x:c r="B25" t="str">
        <x:v>LIVYA MARIA ALVES MELO</x:v>
      </x:c>
      <x:c r="C25" t="str">
        <x:v>1º ano</x:v>
      </x:c>
      <x:c r="D25" t="str">
        <x:v>contraprova</x:v>
      </x:c>
      <x:c r="E25" t="str">
        <x:v>Adequado</x:v>
      </x:c>
      <x:c r="F25" t="str">
        <x:v>Sim</x:v>
      </x:c>
      <x:c r="G25" t="str">
        <x:v>CAEd_DadosExportados (3).zip</x:v>
      </x:c>
      <x:c r="H25" t="str">
        <x:v>HABILIDADES_DESEMPENHO_ESTUDANTE 30-07-2026 9-19-42.csv</x:v>
      </x:c>
      <x:c r="I25" t="n">
        <x:v>2</x:v>
      </x:c>
      <x:c r="J25" t="n">
        <x:v>2</x:v>
      </x:c>
      <x:c r="K25" t="n">
        <x:v>2</x:v>
      </x:c>
      <x:c r="L25" t="n">
        <x:v>2</x:v>
      </x:c>
      <x:c r="M25" t="n">
        <x:v>3</x:v>
      </x:c>
      <x:c r="N25" t="n">
        <x:v>3</x:v>
      </x:c>
      <x:c r="O25" t="n">
        <x:v>1</x:v>
      </x:c>
      <x:c r="P25" t="n">
        <x:v>3</x:v>
      </x:c>
      <x:c r="Q25" t="n">
        <x:v>2</x:v>
      </x:c>
      <x:c r="R25" t="n">
        <x:v>3</x:v>
      </x:c>
      <x:c r="S25" t="n">
        <x:v>3</x:v>
      </x:c>
      <x:c r="T25" t="n">
        <x:v>3</x:v>
      </x:c>
      <x:c r="U25" t="n">
        <x:v>2</x:v>
      </x:c>
      <x:c r="V25" t="n">
        <x:v>2</x:v>
      </x:c>
      <x:c r="W25" t="n">
        <x:v>2</x:v>
      </x:c>
      <x:c r="X25" t="n">
        <x:v>2</x:v>
      </x:c>
      <x:c r="Y25" t="n">
        <x:v>2</x:v>
      </x:c>
      <x:c r="Z25" t="n">
        <x:v>2</x:v>
      </x:c>
      <x:c r="AA25"/>
      <x:c r="AB25"/>
      <x:c r="AC25"/>
      <x:c r="AD25"/>
      <x:c r="AE25"/>
      <x:c r="AF25"/>
      <x:c r="AG25"/>
      <x:c r="AH25"/>
      <x:c r="AI25" t="n">
        <x:f>SUM(I25,K25,M25,O25,Q25,S25,U25,W25,Y25,AA25,AC25,AE25,AG25)</x:f>
        <x:v>19</x:v>
      </x:c>
      <x:c r="AJ25" t="n">
        <x:f>SUM(J25,L25,N25,P25,R25,T25,V25,X25,Z25,AB25,AD25,AF25,AH25)</x:f>
        <x:v>22</x:v>
      </x:c>
      <x:c r="AK25" s="2" t="n">
        <x:f>IFERROR(AI25/AJ25,0)</x:f>
        <x:v>0.8636363636363636</x:v>
      </x:c>
      <x:c r="AL25" t="n">
        <x:f>IF(E25="Adequado",1,0)</x:f>
        <x:v>1</x:v>
      </x:c>
      <x:c r="AM25" t="n">
        <x:f>IF(C25="1º ano",IF(D25="referencia",Parametros!$B$4,Parametros!$B$5),IF(D25="referencia",Parametros!$B$6,Parametros!$B$7))</x:f>
        <x:v>17</x:v>
      </x:c>
      <x:c r="AN25" t="n">
        <x:f>MAX(0,AM25-AI25)</x:f>
        <x:v>0</x:v>
      </x:c>
    </x:row>
    <x:row r="26">
      <x:c r="A26" t="str">
        <x:v>1A013</x:v>
      </x:c>
      <x:c r="B26" t="str">
        <x:v>LOUISE ALVES SANTIAGO</x:v>
      </x:c>
      <x:c r="C26" t="str">
        <x:v>1º ano</x:v>
      </x:c>
      <x:c r="D26" t="str">
        <x:v>referencia</x:v>
      </x:c>
      <x:c r="E26" t="str">
        <x:v>Intermediário</x:v>
      </x:c>
      <x:c r="F26" t="str">
        <x:v>Sim</x:v>
      </x:c>
      <x:c r="G26" t="str">
        <x:v>CAEd_DadosExportados.zip</x:v>
      </x:c>
      <x:c r="H26" t="str">
        <x:v>HABILIDADES_DESEMPENHO_ESTUDANTE 30-07-2026 9-16-45.csv</x:v>
      </x:c>
      <x:c r="I26" t="n">
        <x:v>2</x:v>
      </x:c>
      <x:c r="J26" t="n">
        <x:v>3</x:v>
      </x:c>
      <x:c r="K26" t="n">
        <x:v>2</x:v>
      </x:c>
      <x:c r="L26" t="n">
        <x:v>3</x:v>
      </x:c>
      <x:c r="M26" t="n">
        <x:v>3</x:v>
      </x:c>
      <x:c r="N26" t="n">
        <x:v>3</x:v>
      </x:c>
      <x:c r="O26" t="n">
        <x:v>1</x:v>
      </x:c>
      <x:c r="P26" t="n">
        <x:v>3</x:v>
      </x:c>
      <x:c r="Q26" t="n">
        <x:v>3</x:v>
      </x:c>
      <x:c r="R26" t="n">
        <x:v>3</x:v>
      </x:c>
      <x:c r="S26" t="n">
        <x:v>2</x:v>
      </x:c>
      <x:c r="T26" t="n">
        <x:v>3</x:v>
      </x:c>
      <x:c r="U26" t="n">
        <x:v>0</x:v>
      </x:c>
      <x:c r="V26" t="n">
        <x:v>2</x:v>
      </x:c>
      <x:c r="W26" t="n">
        <x:v>1</x:v>
      </x:c>
      <x:c r="X26" t="n">
        <x:v>2</x:v>
      </x:c>
      <x:c r="Y26"/>
      <x:c r="Z26"/>
      <x:c r="AA26"/>
      <x:c r="AB26"/>
      <x:c r="AC26"/>
      <x:c r="AD26"/>
      <x:c r="AE26"/>
      <x:c r="AF26"/>
      <x:c r="AG26"/>
      <x:c r="AH26"/>
      <x:c r="AI26" t="n">
        <x:f>SUM(I26,K26,M26,O26,Q26,S26,U26,W26,Y26,AA26,AC26,AE26,AG26)</x:f>
        <x:v>14</x:v>
      </x:c>
      <x:c r="AJ26" t="n">
        <x:f>SUM(J26,L26,N26,P26,R26,T26,V26,X26,Z26,AB26,AD26,AF26,AH26)</x:f>
        <x:v>22</x:v>
      </x:c>
      <x:c r="AK26" s="2" t="n">
        <x:f>IFERROR(AI26/AJ26,0)</x:f>
        <x:v>0.6363636363636364</x:v>
      </x:c>
      <x:c r="AL26" t="n">
        <x:f>IF(E26="Adequado",1,0)</x:f>
        <x:v>0</x:v>
      </x:c>
      <x:c r="AM26" t="n">
        <x:f>IF(C26="1º ano",IF(D26="referencia",Parametros!$B$4,Parametros!$B$5),IF(D26="referencia",Parametros!$B$6,Parametros!$B$7))</x:f>
        <x:v>16</x:v>
      </x:c>
      <x:c r="AN26" t="n">
        <x:f>MAX(0,AM26-AI26)</x:f>
        <x:v>2</x:v>
      </x:c>
    </x:row>
    <x:row r="27">
      <x:c r="A27" t="str">
        <x:v>1A013</x:v>
      </x:c>
      <x:c r="B27" t="str">
        <x:v>LOUISE ALVES SANTIAGO</x:v>
      </x:c>
      <x:c r="C27" t="str">
        <x:v>1º ano</x:v>
      </x:c>
      <x:c r="D27" t="str">
        <x:v>contraprova</x:v>
      </x:c>
      <x:c r="E27" t="str">
        <x:v>Intermediário</x:v>
      </x:c>
      <x:c r="F27" t="str">
        <x:v>Sim</x:v>
      </x:c>
      <x:c r="G27" t="str">
        <x:v>CAEd_DadosExportados (3).zip</x:v>
      </x:c>
      <x:c r="H27" t="str">
        <x:v>HABILIDADES_DESEMPENHO_ESTUDANTE 30-07-2026 9-19-42.csv</x:v>
      </x:c>
      <x:c r="I27" t="n">
        <x:v>2</x:v>
      </x:c>
      <x:c r="J27" t="n">
        <x:v>2</x:v>
      </x:c>
      <x:c r="K27" t="n">
        <x:v>1</x:v>
      </x:c>
      <x:c r="L27" t="n">
        <x:v>2</x:v>
      </x:c>
      <x:c r="M27" t="n">
        <x:v>3</x:v>
      </x:c>
      <x:c r="N27" t="n">
        <x:v>3</x:v>
      </x:c>
      <x:c r="O27" t="n">
        <x:v>0</x:v>
      </x:c>
      <x:c r="P27" t="n">
        <x:v>3</x:v>
      </x:c>
      <x:c r="Q27" t="n">
        <x:v>2</x:v>
      </x:c>
      <x:c r="R27" t="n">
        <x:v>3</x:v>
      </x:c>
      <x:c r="S27" t="n">
        <x:v>3</x:v>
      </x:c>
      <x:c r="T27" t="n">
        <x:v>3</x:v>
      </x:c>
      <x:c r="U27" t="n">
        <x:v>1</x:v>
      </x:c>
      <x:c r="V27" t="n">
        <x:v>2</x:v>
      </x:c>
      <x:c r="W27" t="n">
        <x:v>2</x:v>
      </x:c>
      <x:c r="X27" t="n">
        <x:v>2</x:v>
      </x:c>
      <x:c r="Y27" t="n">
        <x:v>2</x:v>
      </x:c>
      <x:c r="Z27" t="n">
        <x:v>2</x:v>
      </x:c>
      <x:c r="AA27"/>
      <x:c r="AB27"/>
      <x:c r="AC27"/>
      <x:c r="AD27"/>
      <x:c r="AE27"/>
      <x:c r="AF27"/>
      <x:c r="AG27"/>
      <x:c r="AH27"/>
      <x:c r="AI27" t="n">
        <x:f>SUM(I27,K27,M27,O27,Q27,S27,U27,W27,Y27,AA27,AC27,AE27,AG27)</x:f>
        <x:v>16</x:v>
      </x:c>
      <x:c r="AJ27" t="n">
        <x:f>SUM(J27,L27,N27,P27,R27,T27,V27,X27,Z27,AB27,AD27,AF27,AH27)</x:f>
        <x:v>22</x:v>
      </x:c>
      <x:c r="AK27" s="2" t="n">
        <x:f>IFERROR(AI27/AJ27,0)</x:f>
        <x:v>0.7272727272727273</x:v>
      </x:c>
      <x:c r="AL27" t="n">
        <x:f>IF(E27="Adequado",1,0)</x:f>
        <x:v>0</x:v>
      </x:c>
      <x:c r="AM27" t="n">
        <x:f>IF(C27="1º ano",IF(D27="referencia",Parametros!$B$4,Parametros!$B$5),IF(D27="referencia",Parametros!$B$6,Parametros!$B$7))</x:f>
        <x:v>17</x:v>
      </x:c>
      <x:c r="AN27" t="n">
        <x:f>MAX(0,AM27-AI27)</x:f>
        <x:v>1</x:v>
      </x:c>
    </x:row>
    <x:row r="28">
      <x:c r="A28" t="str">
        <x:v>1A014</x:v>
      </x:c>
      <x:c r="B28" t="str">
        <x:v>LUNNA DE SOUSA SILVA</x:v>
      </x:c>
      <x:c r="C28" t="str">
        <x:v>1º ano</x:v>
      </x:c>
      <x:c r="D28" t="str">
        <x:v>referencia</x:v>
      </x:c>
      <x:c r="E28" t="str">
        <x:v>Intermediário</x:v>
      </x:c>
      <x:c r="F28" t="str">
        <x:v>Sim</x:v>
      </x:c>
      <x:c r="G28" t="str">
        <x:v>CAEd_DadosExportados.zip</x:v>
      </x:c>
      <x:c r="H28" t="str">
        <x:v>HABILIDADES_DESEMPENHO_ESTUDANTE 30-07-2026 9-16-45.csv</x:v>
      </x:c>
      <x:c r="I28" t="n">
        <x:v>0</x:v>
      </x:c>
      <x:c r="J28" t="n">
        <x:v>3</x:v>
      </x:c>
      <x:c r="K28" t="n">
        <x:v>2</x:v>
      </x:c>
      <x:c r="L28" t="n">
        <x:v>3</x:v>
      </x:c>
      <x:c r="M28" t="n">
        <x:v>1</x:v>
      </x:c>
      <x:c r="N28" t="n">
        <x:v>3</x:v>
      </x:c>
      <x:c r="O28" t="n">
        <x:v>1</x:v>
      </x:c>
      <x:c r="P28" t="n">
        <x:v>3</x:v>
      </x:c>
      <x:c r="Q28" t="n">
        <x:v>3</x:v>
      </x:c>
      <x:c r="R28" t="n">
        <x:v>3</x:v>
      </x:c>
      <x:c r="S28" t="n">
        <x:v>3</x:v>
      </x:c>
      <x:c r="T28" t="n">
        <x:v>3</x:v>
      </x:c>
      <x:c r="U28" t="n">
        <x:v>1</x:v>
      </x:c>
      <x:c r="V28" t="n">
        <x:v>2</x:v>
      </x:c>
      <x:c r="W28" t="n">
        <x:v>2</x:v>
      </x:c>
      <x:c r="X28" t="n">
        <x:v>2</x:v>
      </x:c>
      <x:c r="Y28"/>
      <x:c r="Z28"/>
      <x:c r="AA28"/>
      <x:c r="AB28"/>
      <x:c r="AC28"/>
      <x:c r="AD28"/>
      <x:c r="AE28"/>
      <x:c r="AF28"/>
      <x:c r="AG28"/>
      <x:c r="AH28"/>
      <x:c r="AI28" t="n">
        <x:f>SUM(I28,K28,M28,O28,Q28,S28,U28,W28,Y28,AA28,AC28,AE28,AG28)</x:f>
        <x:v>13</x:v>
      </x:c>
      <x:c r="AJ28" t="n">
        <x:f>SUM(J28,L28,N28,P28,R28,T28,V28,X28,Z28,AB28,AD28,AF28,AH28)</x:f>
        <x:v>22</x:v>
      </x:c>
      <x:c r="AK28" s="2" t="n">
        <x:f>IFERROR(AI28/AJ28,0)</x:f>
        <x:v>0.5909090909090909</x:v>
      </x:c>
      <x:c r="AL28" t="n">
        <x:f>IF(E28="Adequado",1,0)</x:f>
        <x:v>0</x:v>
      </x:c>
      <x:c r="AM28" t="n">
        <x:f>IF(C28="1º ano",IF(D28="referencia",Parametros!$B$4,Parametros!$B$5),IF(D28="referencia",Parametros!$B$6,Parametros!$B$7))</x:f>
        <x:v>16</x:v>
      </x:c>
      <x:c r="AN28" t="n">
        <x:f>MAX(0,AM28-AI28)</x:f>
        <x:v>3</x:v>
      </x:c>
    </x:row>
    <x:row r="29">
      <x:c r="A29" t="str">
        <x:v>1A014</x:v>
      </x:c>
      <x:c r="B29" t="str">
        <x:v>LUNNA DE SOUSA SILVA</x:v>
      </x:c>
      <x:c r="C29" t="str">
        <x:v>1º ano</x:v>
      </x:c>
      <x:c r="D29" t="str">
        <x:v>contraprova</x:v>
      </x:c>
      <x:c r="E29" t="str">
        <x:v>Adequado</x:v>
      </x:c>
      <x:c r="F29" t="str">
        <x:v>Sim</x:v>
      </x:c>
      <x:c r="G29" t="str">
        <x:v>CAEd_DadosExportados (3).zip</x:v>
      </x:c>
      <x:c r="H29" t="str">
        <x:v>HABILIDADES_DESEMPENHO_ESTUDANTE 30-07-2026 9-19-42.csv</x:v>
      </x:c>
      <x:c r="I29" t="n">
        <x:v>2</x:v>
      </x:c>
      <x:c r="J29" t="n">
        <x:v>2</x:v>
      </x:c>
      <x:c r="K29" t="n">
        <x:v>2</x:v>
      </x:c>
      <x:c r="L29" t="n">
        <x:v>2</x:v>
      </x:c>
      <x:c r="M29" t="n">
        <x:v>3</x:v>
      </x:c>
      <x:c r="N29" t="n">
        <x:v>3</x:v>
      </x:c>
      <x:c r="O29" t="n">
        <x:v>3</x:v>
      </x:c>
      <x:c r="P29" t="n">
        <x:v>3</x:v>
      </x:c>
      <x:c r="Q29" t="n">
        <x:v>2</x:v>
      </x:c>
      <x:c r="R29" t="n">
        <x:v>3</x:v>
      </x:c>
      <x:c r="S29" t="n">
        <x:v>3</x:v>
      </x:c>
      <x:c r="T29" t="n">
        <x:v>3</x:v>
      </x:c>
      <x:c r="U29" t="n">
        <x:v>2</x:v>
      </x:c>
      <x:c r="V29" t="n">
        <x:v>2</x:v>
      </x:c>
      <x:c r="W29" t="n">
        <x:v>2</x:v>
      </x:c>
      <x:c r="X29" t="n">
        <x:v>2</x:v>
      </x:c>
      <x:c r="Y29" t="n">
        <x:v>2</x:v>
      </x:c>
      <x:c r="Z29" t="n">
        <x:v>2</x:v>
      </x:c>
      <x:c r="AA29"/>
      <x:c r="AB29"/>
      <x:c r="AC29"/>
      <x:c r="AD29"/>
      <x:c r="AE29"/>
      <x:c r="AF29"/>
      <x:c r="AG29"/>
      <x:c r="AH29"/>
      <x:c r="AI29" t="n">
        <x:f>SUM(I29,K29,M29,O29,Q29,S29,U29,W29,Y29,AA29,AC29,AE29,AG29)</x:f>
        <x:v>21</x:v>
      </x:c>
      <x:c r="AJ29" t="n">
        <x:f>SUM(J29,L29,N29,P29,R29,T29,V29,X29,Z29,AB29,AD29,AF29,AH29)</x:f>
        <x:v>22</x:v>
      </x:c>
      <x:c r="AK29" s="2" t="n">
        <x:f>IFERROR(AI29/AJ29,0)</x:f>
        <x:v>0.9545454545454546</x:v>
      </x:c>
      <x:c r="AL29" t="n">
        <x:f>IF(E29="Adequado",1,0)</x:f>
        <x:v>1</x:v>
      </x:c>
      <x:c r="AM29" t="n">
        <x:f>IF(C29="1º ano",IF(D29="referencia",Parametros!$B$4,Parametros!$B$5),IF(D29="referencia",Parametros!$B$6,Parametros!$B$7))</x:f>
        <x:v>17</x:v>
      </x:c>
      <x:c r="AN29" t="n">
        <x:f>MAX(0,AM29-AI29)</x:f>
        <x:v>0</x:v>
      </x:c>
    </x:row>
    <x:row r="30">
      <x:c r="A30" t="str">
        <x:v>1A015</x:v>
      </x:c>
      <x:c r="B30" t="str">
        <x:v>MARIA AGATHA DE SOUSA NEVES</x:v>
      </x:c>
      <x:c r="C30" t="str">
        <x:v>1º ano</x:v>
      </x:c>
      <x:c r="D30" t="str">
        <x:v>referencia</x:v>
      </x:c>
      <x:c r="E30" t="str">
        <x:v>Intermediário</x:v>
      </x:c>
      <x:c r="F30" t="str">
        <x:v>Sim</x:v>
      </x:c>
      <x:c r="G30" t="str">
        <x:v>CAEd_DadosExportados.zip</x:v>
      </x:c>
      <x:c r="H30" t="str">
        <x:v>HABILIDADES_DESEMPENHO_ESTUDANTE 30-07-2026 9-16-45.csv</x:v>
      </x:c>
      <x:c r="I30" t="n">
        <x:v>1</x:v>
      </x:c>
      <x:c r="J30" t="n">
        <x:v>3</x:v>
      </x:c>
      <x:c r="K30" t="n">
        <x:v>3</x:v>
      </x:c>
      <x:c r="L30" t="n">
        <x:v>3</x:v>
      </x:c>
      <x:c r="M30" t="n">
        <x:v>3</x:v>
      </x:c>
      <x:c r="N30" t="n">
        <x:v>3</x:v>
      </x:c>
      <x:c r="O30" t="n">
        <x:v>0</x:v>
      </x:c>
      <x:c r="P30" t="n">
        <x:v>3</x:v>
      </x:c>
      <x:c r="Q30" t="n">
        <x:v>3</x:v>
      </x:c>
      <x:c r="R30" t="n">
        <x:v>3</x:v>
      </x:c>
      <x:c r="S30" t="n">
        <x:v>1</x:v>
      </x:c>
      <x:c r="T30" t="n">
        <x:v>3</x:v>
      </x:c>
      <x:c r="U30" t="n">
        <x:v>1</x:v>
      </x:c>
      <x:c r="V30" t="n">
        <x:v>2</x:v>
      </x:c>
      <x:c r="W30" t="n">
        <x:v>2</x:v>
      </x:c>
      <x:c r="X30" t="n">
        <x:v>2</x:v>
      </x:c>
      <x:c r="Y30"/>
      <x:c r="Z30"/>
      <x:c r="AA30"/>
      <x:c r="AB30"/>
      <x:c r="AC30"/>
      <x:c r="AD30"/>
      <x:c r="AE30"/>
      <x:c r="AF30"/>
      <x:c r="AG30"/>
      <x:c r="AH30"/>
      <x:c r="AI30" t="n">
        <x:f>SUM(I30,K30,M30,O30,Q30,S30,U30,W30,Y30,AA30,AC30,AE30,AG30)</x:f>
        <x:v>14</x:v>
      </x:c>
      <x:c r="AJ30" t="n">
        <x:f>SUM(J30,L30,N30,P30,R30,T30,V30,X30,Z30,AB30,AD30,AF30,AH30)</x:f>
        <x:v>22</x:v>
      </x:c>
      <x:c r="AK30" s="2" t="n">
        <x:f>IFERROR(AI30/AJ30,0)</x:f>
        <x:v>0.6363636363636364</x:v>
      </x:c>
      <x:c r="AL30" t="n">
        <x:f>IF(E30="Adequado",1,0)</x:f>
        <x:v>0</x:v>
      </x:c>
      <x:c r="AM30" t="n">
        <x:f>IF(C30="1º ano",IF(D30="referencia",Parametros!$B$4,Parametros!$B$5),IF(D30="referencia",Parametros!$B$6,Parametros!$B$7))</x:f>
        <x:v>16</x:v>
      </x:c>
      <x:c r="AN30" t="n">
        <x:f>MAX(0,AM30-AI30)</x:f>
        <x:v>2</x:v>
      </x:c>
    </x:row>
    <x:row r="31">
      <x:c r="A31" t="str">
        <x:v>1A015</x:v>
      </x:c>
      <x:c r="B31" t="str">
        <x:v>MARIA AGATHA DE SOUSA NEVES</x:v>
      </x:c>
      <x:c r="C31" t="str">
        <x:v>1º ano</x:v>
      </x:c>
      <x:c r="D31" t="str">
        <x:v>contraprova</x:v>
      </x:c>
      <x:c r="E31" t="str">
        <x:v>Intermediário</x:v>
      </x:c>
      <x:c r="F31" t="str">
        <x:v>Sim</x:v>
      </x:c>
      <x:c r="G31" t="str">
        <x:v>CAEd_DadosExportados (3).zip</x:v>
      </x:c>
      <x:c r="H31" t="str">
        <x:v>HABILIDADES_DESEMPENHO_ESTUDANTE 30-07-2026 9-19-42.csv</x:v>
      </x:c>
      <x:c r="I31" t="n">
        <x:v>1</x:v>
      </x:c>
      <x:c r="J31" t="n">
        <x:v>2</x:v>
      </x:c>
      <x:c r="K31" t="n">
        <x:v>1</x:v>
      </x:c>
      <x:c r="L31" t="n">
        <x:v>2</x:v>
      </x:c>
      <x:c r="M31" t="n">
        <x:v>2</x:v>
      </x:c>
      <x:c r="N31" t="n">
        <x:v>3</x:v>
      </x:c>
      <x:c r="O31" t="n">
        <x:v>1</x:v>
      </x:c>
      <x:c r="P31" t="n">
        <x:v>3</x:v>
      </x:c>
      <x:c r="Q31" t="n">
        <x:v>2</x:v>
      </x:c>
      <x:c r="R31" t="n">
        <x:v>3</x:v>
      </x:c>
      <x:c r="S31" t="n">
        <x:v>3</x:v>
      </x:c>
      <x:c r="T31" t="n">
        <x:v>3</x:v>
      </x:c>
      <x:c r="U31" t="n">
        <x:v>0</x:v>
      </x:c>
      <x:c r="V31" t="n">
        <x:v>2</x:v>
      </x:c>
      <x:c r="W31" t="n">
        <x:v>2</x:v>
      </x:c>
      <x:c r="X31" t="n">
        <x:v>2</x:v>
      </x:c>
      <x:c r="Y31" t="n">
        <x:v>2</x:v>
      </x:c>
      <x:c r="Z31" t="n">
        <x:v>2</x:v>
      </x:c>
      <x:c r="AA31"/>
      <x:c r="AB31"/>
      <x:c r="AC31"/>
      <x:c r="AD31"/>
      <x:c r="AE31"/>
      <x:c r="AF31"/>
      <x:c r="AG31"/>
      <x:c r="AH31"/>
      <x:c r="AI31" t="n">
        <x:f>SUM(I31,K31,M31,O31,Q31,S31,U31,W31,Y31,AA31,AC31,AE31,AG31)</x:f>
        <x:v>14</x:v>
      </x:c>
      <x:c r="AJ31" t="n">
        <x:f>SUM(J31,L31,N31,P31,R31,T31,V31,X31,Z31,AB31,AD31,AF31,AH31)</x:f>
        <x:v>22</x:v>
      </x:c>
      <x:c r="AK31" s="2" t="n">
        <x:f>IFERROR(AI31/AJ31,0)</x:f>
        <x:v>0.6363636363636364</x:v>
      </x:c>
      <x:c r="AL31" t="n">
        <x:f>IF(E31="Adequado",1,0)</x:f>
        <x:v>0</x:v>
      </x:c>
      <x:c r="AM31" t="n">
        <x:f>IF(C31="1º ano",IF(D31="referencia",Parametros!$B$4,Parametros!$B$5),IF(D31="referencia",Parametros!$B$6,Parametros!$B$7))</x:f>
        <x:v>17</x:v>
      </x:c>
      <x:c r="AN31" t="n">
        <x:f>MAX(0,AM31-AI31)</x:f>
        <x:v>3</x:v>
      </x:c>
    </x:row>
    <x:row r="32">
      <x:c r="A32" t="str">
        <x:v>1A016</x:v>
      </x:c>
      <x:c r="B32" t="str">
        <x:v>MARIA ISIS DA CONCEICAO DE SOUSA</x:v>
      </x:c>
      <x:c r="C32" t="str">
        <x:v>1º ano</x:v>
      </x:c>
      <x:c r="D32" t="str">
        <x:v>referencia</x:v>
      </x:c>
      <x:c r="E32" t="str">
        <x:v>Intermediário</x:v>
      </x:c>
      <x:c r="F32" t="str">
        <x:v>Sim</x:v>
      </x:c>
      <x:c r="G32" t="str">
        <x:v>CAEd_DadosExportados.zip</x:v>
      </x:c>
      <x:c r="H32" t="str">
        <x:v>HABILIDADES_DESEMPENHO_ESTUDANTE 30-07-2026 9-16-45.csv</x:v>
      </x:c>
      <x:c r="I32" t="n">
        <x:v>2</x:v>
      </x:c>
      <x:c r="J32" t="n">
        <x:v>3</x:v>
      </x:c>
      <x:c r="K32" t="n">
        <x:v>2</x:v>
      </x:c>
      <x:c r="L32" t="n">
        <x:v>3</x:v>
      </x:c>
      <x:c r="M32" t="n">
        <x:v>1</x:v>
      </x:c>
      <x:c r="N32" t="n">
        <x:v>3</x:v>
      </x:c>
      <x:c r="O32" t="n">
        <x:v>1</x:v>
      </x:c>
      <x:c r="P32" t="n">
        <x:v>3</x:v>
      </x:c>
      <x:c r="Q32" t="n">
        <x:v>2</x:v>
      </x:c>
      <x:c r="R32" t="n">
        <x:v>3</x:v>
      </x:c>
      <x:c r="S32" t="n">
        <x:v>2</x:v>
      </x:c>
      <x:c r="T32" t="n">
        <x:v>3</x:v>
      </x:c>
      <x:c r="U32" t="n">
        <x:v>1</x:v>
      </x:c>
      <x:c r="V32" t="n">
        <x:v>2</x:v>
      </x:c>
      <x:c r="W32" t="n">
        <x:v>1</x:v>
      </x:c>
      <x:c r="X32" t="n">
        <x:v>2</x:v>
      </x:c>
      <x:c r="Y32"/>
      <x:c r="Z32"/>
      <x:c r="AA32"/>
      <x:c r="AB32"/>
      <x:c r="AC32"/>
      <x:c r="AD32"/>
      <x:c r="AE32"/>
      <x:c r="AF32"/>
      <x:c r="AG32"/>
      <x:c r="AH32"/>
      <x:c r="AI32" t="n">
        <x:f>SUM(I32,K32,M32,O32,Q32,S32,U32,W32,Y32,AA32,AC32,AE32,AG32)</x:f>
        <x:v>12</x:v>
      </x:c>
      <x:c r="AJ32" t="n">
        <x:f>SUM(J32,L32,N32,P32,R32,T32,V32,X32,Z32,AB32,AD32,AF32,AH32)</x:f>
        <x:v>22</x:v>
      </x:c>
      <x:c r="AK32" s="2" t="n">
        <x:f>IFERROR(AI32/AJ32,0)</x:f>
        <x:v>0.5454545454545454</x:v>
      </x:c>
      <x:c r="AL32" t="n">
        <x:f>IF(E32="Adequado",1,0)</x:f>
        <x:v>0</x:v>
      </x:c>
      <x:c r="AM32" t="n">
        <x:f>IF(C32="1º ano",IF(D32="referencia",Parametros!$B$4,Parametros!$B$5),IF(D32="referencia",Parametros!$B$6,Parametros!$B$7))</x:f>
        <x:v>16</x:v>
      </x:c>
      <x:c r="AN32" t="n">
        <x:f>MAX(0,AM32-AI32)</x:f>
        <x:v>4</x:v>
      </x:c>
    </x:row>
    <x:row r="33">
      <x:c r="A33" t="str">
        <x:v>1A016</x:v>
      </x:c>
      <x:c r="B33" t="str">
        <x:v>MARIA ISIS DA CONCEICAO DE SOUSA</x:v>
      </x:c>
      <x:c r="C33" t="str">
        <x:v>1º ano</x:v>
      </x:c>
      <x:c r="D33" t="str">
        <x:v>contraprova</x:v>
      </x:c>
      <x:c r="E33" t="str">
        <x:v>Adequado</x:v>
      </x:c>
      <x:c r="F33" t="str">
        <x:v>Sim</x:v>
      </x:c>
      <x:c r="G33" t="str">
        <x:v>CAEd_DadosExportados (3).zip</x:v>
      </x:c>
      <x:c r="H33" t="str">
        <x:v>HABILIDADES_DESEMPENHO_ESTUDANTE 30-07-2026 9-19-42.csv</x:v>
      </x:c>
      <x:c r="I33" t="n">
        <x:v>2</x:v>
      </x:c>
      <x:c r="J33" t="n">
        <x:v>2</x:v>
      </x:c>
      <x:c r="K33" t="n">
        <x:v>2</x:v>
      </x:c>
      <x:c r="L33" t="n">
        <x:v>2</x:v>
      </x:c>
      <x:c r="M33" t="n">
        <x:v>3</x:v>
      </x:c>
      <x:c r="N33" t="n">
        <x:v>3</x:v>
      </x:c>
      <x:c r="O33" t="n">
        <x:v>3</x:v>
      </x:c>
      <x:c r="P33" t="n">
        <x:v>3</x:v>
      </x:c>
      <x:c r="Q33" t="n">
        <x:v>3</x:v>
      </x:c>
      <x:c r="R33" t="n">
        <x:v>3</x:v>
      </x:c>
      <x:c r="S33" t="n">
        <x:v>3</x:v>
      </x:c>
      <x:c r="T33" t="n">
        <x:v>3</x:v>
      </x:c>
      <x:c r="U33" t="n">
        <x:v>2</x:v>
      </x:c>
      <x:c r="V33" t="n">
        <x:v>2</x:v>
      </x:c>
      <x:c r="W33" t="n">
        <x:v>2</x:v>
      </x:c>
      <x:c r="X33" t="n">
        <x:v>2</x:v>
      </x:c>
      <x:c r="Y33" t="n">
        <x:v>2</x:v>
      </x:c>
      <x:c r="Z33" t="n">
        <x:v>2</x:v>
      </x:c>
      <x:c r="AA33"/>
      <x:c r="AB33"/>
      <x:c r="AC33"/>
      <x:c r="AD33"/>
      <x:c r="AE33"/>
      <x:c r="AF33"/>
      <x:c r="AG33"/>
      <x:c r="AH33"/>
      <x:c r="AI33" t="n">
        <x:f>SUM(I33,K33,M33,O33,Q33,S33,U33,W33,Y33,AA33,AC33,AE33,AG33)</x:f>
        <x:v>22</x:v>
      </x:c>
      <x:c r="AJ33" t="n">
        <x:f>SUM(J33,L33,N33,P33,R33,T33,V33,X33,Z33,AB33,AD33,AF33,AH33)</x:f>
        <x:v>22</x:v>
      </x:c>
      <x:c r="AK33" s="2" t="n">
        <x:f>IFERROR(AI33/AJ33,0)</x:f>
        <x:v>1</x:v>
      </x:c>
      <x:c r="AL33" t="n">
        <x:f>IF(E33="Adequado",1,0)</x:f>
        <x:v>1</x:v>
      </x:c>
      <x:c r="AM33" t="n">
        <x:f>IF(C33="1º ano",IF(D33="referencia",Parametros!$B$4,Parametros!$B$5),IF(D33="referencia",Parametros!$B$6,Parametros!$B$7))</x:f>
        <x:v>17</x:v>
      </x:c>
      <x:c r="AN33" t="n">
        <x:f>MAX(0,AM33-AI33)</x:f>
        <x:v>0</x:v>
      </x:c>
    </x:row>
    <x:row r="34">
      <x:c r="A34" t="str">
        <x:v>1A017</x:v>
      </x:c>
      <x:c r="B34" t="str">
        <x:v>MARIA ISIS PEREIRA GOMES</x:v>
      </x:c>
      <x:c r="C34" t="str">
        <x:v>1º ano</x:v>
      </x:c>
      <x:c r="D34" t="str">
        <x:v>referencia</x:v>
      </x:c>
      <x:c r="E34" t="str">
        <x:v>Adequado</x:v>
      </x:c>
      <x:c r="F34" t="str">
        <x:v>Sim</x:v>
      </x:c>
      <x:c r="G34" t="str">
        <x:v>CAEd_DadosExportados.zip</x:v>
      </x:c>
      <x:c r="H34" t="str">
        <x:v>HABILIDADES_DESEMPENHO_ESTUDANTE 30-07-2026 9-16-45.csv</x:v>
      </x:c>
      <x:c r="I34" t="n">
        <x:v>2</x:v>
      </x:c>
      <x:c r="J34" t="n">
        <x:v>3</x:v>
      </x:c>
      <x:c r="K34" t="n">
        <x:v>3</x:v>
      </x:c>
      <x:c r="L34" t="n">
        <x:v>3</x:v>
      </x:c>
      <x:c r="M34" t="n">
        <x:v>2</x:v>
      </x:c>
      <x:c r="N34" t="n">
        <x:v>3</x:v>
      </x:c>
      <x:c r="O34" t="n">
        <x:v>2</x:v>
      </x:c>
      <x:c r="P34" t="n">
        <x:v>3</x:v>
      </x:c>
      <x:c r="Q34" t="n">
        <x:v>3</x:v>
      </x:c>
      <x:c r="R34" t="n">
        <x:v>3</x:v>
      </x:c>
      <x:c r="S34" t="n">
        <x:v>3</x:v>
      </x:c>
      <x:c r="T34" t="n">
        <x:v>3</x:v>
      </x:c>
      <x:c r="U34" t="n">
        <x:v>2</x:v>
      </x:c>
      <x:c r="V34" t="n">
        <x:v>2</x:v>
      </x:c>
      <x:c r="W34" t="n">
        <x:v>1</x:v>
      </x:c>
      <x:c r="X34" t="n">
        <x:v>2</x:v>
      </x:c>
      <x:c r="Y34"/>
      <x:c r="Z34"/>
      <x:c r="AA34"/>
      <x:c r="AB34"/>
      <x:c r="AC34"/>
      <x:c r="AD34"/>
      <x:c r="AE34"/>
      <x:c r="AF34"/>
      <x:c r="AG34"/>
      <x:c r="AH34"/>
      <x:c r="AI34" t="n">
        <x:f>SUM(I34,K34,M34,O34,Q34,S34,U34,W34,Y34,AA34,AC34,AE34,AG34)</x:f>
        <x:v>18</x:v>
      </x:c>
      <x:c r="AJ34" t="n">
        <x:f>SUM(J34,L34,N34,P34,R34,T34,V34,X34,Z34,AB34,AD34,AF34,AH34)</x:f>
        <x:v>22</x:v>
      </x:c>
      <x:c r="AK34" s="2" t="n">
        <x:f>IFERROR(AI34/AJ34,0)</x:f>
        <x:v>0.8181818181818182</x:v>
      </x:c>
      <x:c r="AL34" t="n">
        <x:f>IF(E34="Adequado",1,0)</x:f>
        <x:v>1</x:v>
      </x:c>
      <x:c r="AM34" t="n">
        <x:f>IF(C34="1º ano",IF(D34="referencia",Parametros!$B$4,Parametros!$B$5),IF(D34="referencia",Parametros!$B$6,Parametros!$B$7))</x:f>
        <x:v>16</x:v>
      </x:c>
      <x:c r="AN34" t="n">
        <x:f>MAX(0,AM34-AI34)</x:f>
        <x:v>0</x:v>
      </x:c>
    </x:row>
    <x:row r="35">
      <x:c r="A35" t="str">
        <x:v>1A017</x:v>
      </x:c>
      <x:c r="B35" t="str">
        <x:v>MARIA ISIS PEREIRA GOMES</x:v>
      </x:c>
      <x:c r="C35" t="str">
        <x:v>1º ano</x:v>
      </x:c>
      <x:c r="D35" t="str">
        <x:v>contraprova</x:v>
      </x:c>
      <x:c r="E35" t="str">
        <x:v>Intermediário</x:v>
      </x:c>
      <x:c r="F35" t="str">
        <x:v>Sim</x:v>
      </x:c>
      <x:c r="G35" t="str">
        <x:v>CAEd_DadosExportados (3).zip</x:v>
      </x:c>
      <x:c r="H35" t="str">
        <x:v>HABILIDADES_DESEMPENHO_ESTUDANTE 30-07-2026 9-19-42.csv</x:v>
      </x:c>
      <x:c r="I35" t="n">
        <x:v>1</x:v>
      </x:c>
      <x:c r="J35" t="n">
        <x:v>2</x:v>
      </x:c>
      <x:c r="K35" t="n">
        <x:v>1</x:v>
      </x:c>
      <x:c r="L35" t="n">
        <x:v>2</x:v>
      </x:c>
      <x:c r="M35" t="n">
        <x:v>2</x:v>
      </x:c>
      <x:c r="N35" t="n">
        <x:v>3</x:v>
      </x:c>
      <x:c r="O35" t="n">
        <x:v>1</x:v>
      </x:c>
      <x:c r="P35" t="n">
        <x:v>3</x:v>
      </x:c>
      <x:c r="Q35" t="n">
        <x:v>2</x:v>
      </x:c>
      <x:c r="R35" t="n">
        <x:v>3</x:v>
      </x:c>
      <x:c r="S35" t="n">
        <x:v>3</x:v>
      </x:c>
      <x:c r="T35" t="n">
        <x:v>3</x:v>
      </x:c>
      <x:c r="U35" t="n">
        <x:v>0</x:v>
      </x:c>
      <x:c r="V35" t="n">
        <x:v>2</x:v>
      </x:c>
      <x:c r="W35" t="n">
        <x:v>2</x:v>
      </x:c>
      <x:c r="X35" t="n">
        <x:v>2</x:v>
      </x:c>
      <x:c r="Y35" t="n">
        <x:v>2</x:v>
      </x:c>
      <x:c r="Z35" t="n">
        <x:v>2</x:v>
      </x:c>
      <x:c r="AA35"/>
      <x:c r="AB35"/>
      <x:c r="AC35"/>
      <x:c r="AD35"/>
      <x:c r="AE35"/>
      <x:c r="AF35"/>
      <x:c r="AG35"/>
      <x:c r="AH35"/>
      <x:c r="AI35" t="n">
        <x:f>SUM(I35,K35,M35,O35,Q35,S35,U35,W35,Y35,AA35,AC35,AE35,AG35)</x:f>
        <x:v>14</x:v>
      </x:c>
      <x:c r="AJ35" t="n">
        <x:f>SUM(J35,L35,N35,P35,R35,T35,V35,X35,Z35,AB35,AD35,AF35,AH35)</x:f>
        <x:v>22</x:v>
      </x:c>
      <x:c r="AK35" s="2" t="n">
        <x:f>IFERROR(AI35/AJ35,0)</x:f>
        <x:v>0.6363636363636364</x:v>
      </x:c>
      <x:c r="AL35" t="n">
        <x:f>IF(E35="Adequado",1,0)</x:f>
        <x:v>0</x:v>
      </x:c>
      <x:c r="AM35" t="n">
        <x:f>IF(C35="1º ano",IF(D35="referencia",Parametros!$B$4,Parametros!$B$5),IF(D35="referencia",Parametros!$B$6,Parametros!$B$7))</x:f>
        <x:v>17</x:v>
      </x:c>
      <x:c r="AN35" t="n">
        <x:f>MAX(0,AM35-AI35)</x:f>
        <x:v>3</x:v>
      </x:c>
    </x:row>
    <x:row r="36">
      <x:c r="A36" t="str">
        <x:v>1A018</x:v>
      </x:c>
      <x:c r="B36" t="str">
        <x:v>MARIA JULIANA VIEIRA GOMES</x:v>
      </x:c>
      <x:c r="C36" t="str">
        <x:v>1º ano</x:v>
      </x:c>
      <x:c r="D36" t="str">
        <x:v>referencia</x:v>
      </x:c>
      <x:c r="E36" t="str">
        <x:v>Intermediário</x:v>
      </x:c>
      <x:c r="F36" t="str">
        <x:v>Sim</x:v>
      </x:c>
      <x:c r="G36" t="str">
        <x:v>CAEd_DadosExportados.zip</x:v>
      </x:c>
      <x:c r="H36" t="str">
        <x:v>HABILIDADES_DESEMPENHO_ESTUDANTE 30-07-2026 9-16-45.csv</x:v>
      </x:c>
      <x:c r="I36" t="n">
        <x:v>3</x:v>
      </x:c>
      <x:c r="J36" t="n">
        <x:v>3</x:v>
      </x:c>
      <x:c r="K36" t="n">
        <x:v>2</x:v>
      </x:c>
      <x:c r="L36" t="n">
        <x:v>3</x:v>
      </x:c>
      <x:c r="M36" t="n">
        <x:v>2</x:v>
      </x:c>
      <x:c r="N36" t="n">
        <x:v>3</x:v>
      </x:c>
      <x:c r="O36" t="n">
        <x:v>0</x:v>
      </x:c>
      <x:c r="P36" t="n">
        <x:v>3</x:v>
      </x:c>
      <x:c r="Q36" t="n">
        <x:v>3</x:v>
      </x:c>
      <x:c r="R36" t="n">
        <x:v>3</x:v>
      </x:c>
      <x:c r="S36" t="n">
        <x:v>1</x:v>
      </x:c>
      <x:c r="T36" t="n">
        <x:v>3</x:v>
      </x:c>
      <x:c r="U36" t="n">
        <x:v>0</x:v>
      </x:c>
      <x:c r="V36" t="n">
        <x:v>2</x:v>
      </x:c>
      <x:c r="W36" t="n">
        <x:v>2</x:v>
      </x:c>
      <x:c r="X36" t="n">
        <x:v>2</x:v>
      </x:c>
      <x:c r="Y36"/>
      <x:c r="Z36"/>
      <x:c r="AA36"/>
      <x:c r="AB36"/>
      <x:c r="AC36"/>
      <x:c r="AD36"/>
      <x:c r="AE36"/>
      <x:c r="AF36"/>
      <x:c r="AG36"/>
      <x:c r="AH36"/>
      <x:c r="AI36" t="n">
        <x:f>SUM(I36,K36,M36,O36,Q36,S36,U36,W36,Y36,AA36,AC36,AE36,AG36)</x:f>
        <x:v>13</x:v>
      </x:c>
      <x:c r="AJ36" t="n">
        <x:f>SUM(J36,L36,N36,P36,R36,T36,V36,X36,Z36,AB36,AD36,AF36,AH36)</x:f>
        <x:v>22</x:v>
      </x:c>
      <x:c r="AK36" s="2" t="n">
        <x:f>IFERROR(AI36/AJ36,0)</x:f>
        <x:v>0.5909090909090909</x:v>
      </x:c>
      <x:c r="AL36" t="n">
        <x:f>IF(E36="Adequado",1,0)</x:f>
        <x:v>0</x:v>
      </x:c>
      <x:c r="AM36" t="n">
        <x:f>IF(C36="1º ano",IF(D36="referencia",Parametros!$B$4,Parametros!$B$5),IF(D36="referencia",Parametros!$B$6,Parametros!$B$7))</x:f>
        <x:v>16</x:v>
      </x:c>
      <x:c r="AN36" t="n">
        <x:f>MAX(0,AM36-AI36)</x:f>
        <x:v>3</x:v>
      </x:c>
    </x:row>
    <x:row r="37">
      <x:c r="A37" t="str">
        <x:v>1A018</x:v>
      </x:c>
      <x:c r="B37" t="str">
        <x:v>MARIA JULIANA VIEIRA GOMES</x:v>
      </x:c>
      <x:c r="C37" t="str">
        <x:v>1º ano</x:v>
      </x:c>
      <x:c r="D37" t="str">
        <x:v>contraprova</x:v>
      </x:c>
      <x:c r="E37" t="str">
        <x:v>Intermediário</x:v>
      </x:c>
      <x:c r="F37" t="str">
        <x:v>Sim</x:v>
      </x:c>
      <x:c r="G37" t="str">
        <x:v>CAEd_DadosExportados (3).zip</x:v>
      </x:c>
      <x:c r="H37" t="str">
        <x:v>HABILIDADES_DESEMPENHO_ESTUDANTE 30-07-2026 9-19-42.csv</x:v>
      </x:c>
      <x:c r="I37" t="n">
        <x:v>2</x:v>
      </x:c>
      <x:c r="J37" t="n">
        <x:v>2</x:v>
      </x:c>
      <x:c r="K37" t="n">
        <x:v>1</x:v>
      </x:c>
      <x:c r="L37" t="n">
        <x:v>2</x:v>
      </x:c>
      <x:c r="M37" t="n">
        <x:v>2</x:v>
      </x:c>
      <x:c r="N37" t="n">
        <x:v>3</x:v>
      </x:c>
      <x:c r="O37" t="n">
        <x:v>1</x:v>
      </x:c>
      <x:c r="P37" t="n">
        <x:v>3</x:v>
      </x:c>
      <x:c r="Q37" t="n">
        <x:v>2</x:v>
      </x:c>
      <x:c r="R37" t="n">
        <x:v>3</x:v>
      </x:c>
      <x:c r="S37" t="n">
        <x:v>2</x:v>
      </x:c>
      <x:c r="T37" t="n">
        <x:v>3</x:v>
      </x:c>
      <x:c r="U37" t="n">
        <x:v>1</x:v>
      </x:c>
      <x:c r="V37" t="n">
        <x:v>2</x:v>
      </x:c>
      <x:c r="W37" t="n">
        <x:v>1</x:v>
      </x:c>
      <x:c r="X37" t="n">
        <x:v>2</x:v>
      </x:c>
      <x:c r="Y37" t="n">
        <x:v>2</x:v>
      </x:c>
      <x:c r="Z37" t="n">
        <x:v>2</x:v>
      </x:c>
      <x:c r="AA37"/>
      <x:c r="AB37"/>
      <x:c r="AC37"/>
      <x:c r="AD37"/>
      <x:c r="AE37"/>
      <x:c r="AF37"/>
      <x:c r="AG37"/>
      <x:c r="AH37"/>
      <x:c r="AI37" t="n">
        <x:f>SUM(I37,K37,M37,O37,Q37,S37,U37,W37,Y37,AA37,AC37,AE37,AG37)</x:f>
        <x:v>14</x:v>
      </x:c>
      <x:c r="AJ37" t="n">
        <x:f>SUM(J37,L37,N37,P37,R37,T37,V37,X37,Z37,AB37,AD37,AF37,AH37)</x:f>
        <x:v>22</x:v>
      </x:c>
      <x:c r="AK37" s="2" t="n">
        <x:f>IFERROR(AI37/AJ37,0)</x:f>
        <x:v>0.6363636363636364</x:v>
      </x:c>
      <x:c r="AL37" t="n">
        <x:f>IF(E37="Adequado",1,0)</x:f>
        <x:v>0</x:v>
      </x:c>
      <x:c r="AM37" t="n">
        <x:f>IF(C37="1º ano",IF(D37="referencia",Parametros!$B$4,Parametros!$B$5),IF(D37="referencia",Parametros!$B$6,Parametros!$B$7))</x:f>
        <x:v>17</x:v>
      </x:c>
      <x:c r="AN37" t="n">
        <x:f>MAX(0,AM37-AI37)</x:f>
        <x:v>3</x:v>
      </x:c>
    </x:row>
    <x:row r="38">
      <x:c r="A38" t="str">
        <x:v>1A019</x:v>
      </x:c>
      <x:c r="B38" t="str">
        <x:v>MARIA LETICIA MARTINS DA SILVA</x:v>
      </x:c>
      <x:c r="C38" t="str">
        <x:v>1º ano</x:v>
      </x:c>
      <x:c r="D38" t="str">
        <x:v>referencia</x:v>
      </x:c>
      <x:c r="E38" t="str">
        <x:v>Adequado</x:v>
      </x:c>
      <x:c r="F38" t="str">
        <x:v>Sim</x:v>
      </x:c>
      <x:c r="G38" t="str">
        <x:v>CAEd_DadosExportados.zip</x:v>
      </x:c>
      <x:c r="H38" t="str">
        <x:v>HABILIDADES_DESEMPENHO_ESTUDANTE 30-07-2026 9-16-45.csv</x:v>
      </x:c>
      <x:c r="I38" t="n">
        <x:v>2</x:v>
      </x:c>
      <x:c r="J38" t="n">
        <x:v>3</x:v>
      </x:c>
      <x:c r="K38" t="n">
        <x:v>2</x:v>
      </x:c>
      <x:c r="L38" t="n">
        <x:v>3</x:v>
      </x:c>
      <x:c r="M38" t="n">
        <x:v>2</x:v>
      </x:c>
      <x:c r="N38" t="n">
        <x:v>3</x:v>
      </x:c>
      <x:c r="O38" t="n">
        <x:v>1</x:v>
      </x:c>
      <x:c r="P38" t="n">
        <x:v>3</x:v>
      </x:c>
      <x:c r="Q38" t="n">
        <x:v>3</x:v>
      </x:c>
      <x:c r="R38" t="n">
        <x:v>3</x:v>
      </x:c>
      <x:c r="S38" t="n">
        <x:v>3</x:v>
      </x:c>
      <x:c r="T38" t="n">
        <x:v>3</x:v>
      </x:c>
      <x:c r="U38" t="n">
        <x:v>1</x:v>
      </x:c>
      <x:c r="V38" t="n">
        <x:v>2</x:v>
      </x:c>
      <x:c r="W38" t="n">
        <x:v>2</x:v>
      </x:c>
      <x:c r="X38" t="n">
        <x:v>2</x:v>
      </x:c>
      <x:c r="Y38"/>
      <x:c r="Z38"/>
      <x:c r="AA38"/>
      <x:c r="AB38"/>
      <x:c r="AC38"/>
      <x:c r="AD38"/>
      <x:c r="AE38"/>
      <x:c r="AF38"/>
      <x:c r="AG38"/>
      <x:c r="AH38"/>
      <x:c r="AI38" t="n">
        <x:f>SUM(I38,K38,M38,O38,Q38,S38,U38,W38,Y38,AA38,AC38,AE38,AG38)</x:f>
        <x:v>16</x:v>
      </x:c>
      <x:c r="AJ38" t="n">
        <x:f>SUM(J38,L38,N38,P38,R38,T38,V38,X38,Z38,AB38,AD38,AF38,AH38)</x:f>
        <x:v>22</x:v>
      </x:c>
      <x:c r="AK38" s="2" t="n">
        <x:f>IFERROR(AI38/AJ38,0)</x:f>
        <x:v>0.7272727272727273</x:v>
      </x:c>
      <x:c r="AL38" t="n">
        <x:f>IF(E38="Adequado",1,0)</x:f>
        <x:v>1</x:v>
      </x:c>
      <x:c r="AM38" t="n">
        <x:f>IF(C38="1º ano",IF(D38="referencia",Parametros!$B$4,Parametros!$B$5),IF(D38="referencia",Parametros!$B$6,Parametros!$B$7))</x:f>
        <x:v>16</x:v>
      </x:c>
      <x:c r="AN38" t="n">
        <x:f>MAX(0,AM38-AI38)</x:f>
        <x:v>0</x:v>
      </x:c>
    </x:row>
    <x:row r="39">
      <x:c r="A39" t="str">
        <x:v>1A019</x:v>
      </x:c>
      <x:c r="B39" t="str">
        <x:v>MARIA LETICIA MARTINS DA SILVA</x:v>
      </x:c>
      <x:c r="C39" t="str">
        <x:v>1º ano</x:v>
      </x:c>
      <x:c r="D39" t="str">
        <x:v>contraprova</x:v>
      </x:c>
      <x:c r="E39" t="str">
        <x:v>Intermediário</x:v>
      </x:c>
      <x:c r="F39" t="str">
        <x:v>Sim</x:v>
      </x:c>
      <x:c r="G39" t="str">
        <x:v>CAEd_DadosExportados (3).zip</x:v>
      </x:c>
      <x:c r="H39" t="str">
        <x:v>HABILIDADES_DESEMPENHO_ESTUDANTE 30-07-2026 9-19-42.csv</x:v>
      </x:c>
      <x:c r="I39" t="n">
        <x:v>2</x:v>
      </x:c>
      <x:c r="J39" t="n">
        <x:v>2</x:v>
      </x:c>
      <x:c r="K39" t="n">
        <x:v>0</x:v>
      </x:c>
      <x:c r="L39" t="n">
        <x:v>2</x:v>
      </x:c>
      <x:c r="M39" t="n">
        <x:v>3</x:v>
      </x:c>
      <x:c r="N39" t="n">
        <x:v>3</x:v>
      </x:c>
      <x:c r="O39" t="n">
        <x:v>2</x:v>
      </x:c>
      <x:c r="P39" t="n">
        <x:v>3</x:v>
      </x:c>
      <x:c r="Q39" t="n">
        <x:v>1</x:v>
      </x:c>
      <x:c r="R39" t="n">
        <x:v>3</x:v>
      </x:c>
      <x:c r="S39" t="n">
        <x:v>3</x:v>
      </x:c>
      <x:c r="T39" t="n">
        <x:v>3</x:v>
      </x:c>
      <x:c r="U39" t="n">
        <x:v>2</x:v>
      </x:c>
      <x:c r="V39" t="n">
        <x:v>2</x:v>
      </x:c>
      <x:c r="W39" t="n">
        <x:v>0</x:v>
      </x:c>
      <x:c r="X39" t="n">
        <x:v>2</x:v>
      </x:c>
      <x:c r="Y39" t="n">
        <x:v>2</x:v>
      </x:c>
      <x:c r="Z39" t="n">
        <x:v>2</x:v>
      </x:c>
      <x:c r="AA39"/>
      <x:c r="AB39"/>
      <x:c r="AC39"/>
      <x:c r="AD39"/>
      <x:c r="AE39"/>
      <x:c r="AF39"/>
      <x:c r="AG39"/>
      <x:c r="AH39"/>
      <x:c r="AI39" t="n">
        <x:f>SUM(I39,K39,M39,O39,Q39,S39,U39,W39,Y39,AA39,AC39,AE39,AG39)</x:f>
        <x:v>15</x:v>
      </x:c>
      <x:c r="AJ39" t="n">
        <x:f>SUM(J39,L39,N39,P39,R39,T39,V39,X39,Z39,AB39,AD39,AF39,AH39)</x:f>
        <x:v>22</x:v>
      </x:c>
      <x:c r="AK39" s="2" t="n">
        <x:f>IFERROR(AI39/AJ39,0)</x:f>
        <x:v>0.6818181818181818</x:v>
      </x:c>
      <x:c r="AL39" t="n">
        <x:f>IF(E39="Adequado",1,0)</x:f>
        <x:v>0</x:v>
      </x:c>
      <x:c r="AM39" t="n">
        <x:f>IF(C39="1º ano",IF(D39="referencia",Parametros!$B$4,Parametros!$B$5),IF(D39="referencia",Parametros!$B$6,Parametros!$B$7))</x:f>
        <x:v>17</x:v>
      </x:c>
      <x:c r="AN39" t="n">
        <x:f>MAX(0,AM39-AI39)</x:f>
        <x:v>2</x:v>
      </x:c>
    </x:row>
    <x:row r="40">
      <x:c r="A40" t="str">
        <x:v>1A020</x:v>
      </x:c>
      <x:c r="B40" t="str">
        <x:v>MARIA SOPHIA MARQUES SILVA</x:v>
      </x:c>
      <x:c r="C40" t="str">
        <x:v>1º ano</x:v>
      </x:c>
      <x:c r="D40" t="str">
        <x:v>referencia</x:v>
      </x:c>
      <x:c r="E40" t="str">
        <x:v>Adequado</x:v>
      </x:c>
      <x:c r="F40" t="str">
        <x:v>Sim</x:v>
      </x:c>
      <x:c r="G40" t="str">
        <x:v>CAEd_DadosExportados.zip</x:v>
      </x:c>
      <x:c r="H40" t="str">
        <x:v>HABILIDADES_DESEMPENHO_ESTUDANTE 30-07-2026 9-16-45.csv</x:v>
      </x:c>
      <x:c r="I40" t="n">
        <x:v>3</x:v>
      </x:c>
      <x:c r="J40" t="n">
        <x:v>3</x:v>
      </x:c>
      <x:c r="K40" t="n">
        <x:v>2</x:v>
      </x:c>
      <x:c r="L40" t="n">
        <x:v>3</x:v>
      </x:c>
      <x:c r="M40" t="n">
        <x:v>3</x:v>
      </x:c>
      <x:c r="N40" t="n">
        <x:v>3</x:v>
      </x:c>
      <x:c r="O40" t="n">
        <x:v>2</x:v>
      </x:c>
      <x:c r="P40" t="n">
        <x:v>3</x:v>
      </x:c>
      <x:c r="Q40" t="n">
        <x:v>3</x:v>
      </x:c>
      <x:c r="R40" t="n">
        <x:v>3</x:v>
      </x:c>
      <x:c r="S40" t="n">
        <x:v>3</x:v>
      </x:c>
      <x:c r="T40" t="n">
        <x:v>3</x:v>
      </x:c>
      <x:c r="U40" t="n">
        <x:v>2</x:v>
      </x:c>
      <x:c r="V40" t="n">
        <x:v>2</x:v>
      </x:c>
      <x:c r="W40" t="n">
        <x:v>2</x:v>
      </x:c>
      <x:c r="X40" t="n">
        <x:v>2</x:v>
      </x:c>
      <x:c r="Y40"/>
      <x:c r="Z40"/>
      <x:c r="AA40"/>
      <x:c r="AB40"/>
      <x:c r="AC40"/>
      <x:c r="AD40"/>
      <x:c r="AE40"/>
      <x:c r="AF40"/>
      <x:c r="AG40"/>
      <x:c r="AH40"/>
      <x:c r="AI40" t="n">
        <x:f>SUM(I40,K40,M40,O40,Q40,S40,U40,W40,Y40,AA40,AC40,AE40,AG40)</x:f>
        <x:v>20</x:v>
      </x:c>
      <x:c r="AJ40" t="n">
        <x:f>SUM(J40,L40,N40,P40,R40,T40,V40,X40,Z40,AB40,AD40,AF40,AH40)</x:f>
        <x:v>22</x:v>
      </x:c>
      <x:c r="AK40" s="2" t="n">
        <x:f>IFERROR(AI40/AJ40,0)</x:f>
        <x:v>0.9090909090909091</x:v>
      </x:c>
      <x:c r="AL40" t="n">
        <x:f>IF(E40="Adequado",1,0)</x:f>
        <x:v>1</x:v>
      </x:c>
      <x:c r="AM40" t="n">
        <x:f>IF(C40="1º ano",IF(D40="referencia",Parametros!$B$4,Parametros!$B$5),IF(D40="referencia",Parametros!$B$6,Parametros!$B$7))</x:f>
        <x:v>16</x:v>
      </x:c>
      <x:c r="AN40" t="n">
        <x:f>MAX(0,AM40-AI40)</x:f>
        <x:v>0</x:v>
      </x:c>
    </x:row>
    <x:row r="41">
      <x:c r="A41" t="str">
        <x:v>1A020</x:v>
      </x:c>
      <x:c r="B41" t="str">
        <x:v>MARIA SOPHIA MARQUES SILVA</x:v>
      </x:c>
      <x:c r="C41" t="str">
        <x:v>1º ano</x:v>
      </x:c>
      <x:c r="D41" t="str">
        <x:v>contraprova</x:v>
      </x:c>
      <x:c r="E41" t="str">
        <x:v>Intermediário</x:v>
      </x:c>
      <x:c r="F41" t="str">
        <x:v>Sim</x:v>
      </x:c>
      <x:c r="G41" t="str">
        <x:v>CAEd_DadosExportados (3).zip</x:v>
      </x:c>
      <x:c r="H41" t="str">
        <x:v>HABILIDADES_DESEMPENHO_ESTUDANTE 30-07-2026 9-19-42.csv</x:v>
      </x:c>
      <x:c r="I41" t="n">
        <x:v>1</x:v>
      </x:c>
      <x:c r="J41" t="n">
        <x:v>2</x:v>
      </x:c>
      <x:c r="K41" t="n">
        <x:v>2</x:v>
      </x:c>
      <x:c r="L41" t="n">
        <x:v>2</x:v>
      </x:c>
      <x:c r="M41" t="n">
        <x:v>2</x:v>
      </x:c>
      <x:c r="N41" t="n">
        <x:v>3</x:v>
      </x:c>
      <x:c r="O41" t="n">
        <x:v>2</x:v>
      </x:c>
      <x:c r="P41" t="n">
        <x:v>3</x:v>
      </x:c>
      <x:c r="Q41" t="n">
        <x:v>2</x:v>
      </x:c>
      <x:c r="R41" t="n">
        <x:v>3</x:v>
      </x:c>
      <x:c r="S41" t="n">
        <x:v>3</x:v>
      </x:c>
      <x:c r="T41" t="n">
        <x:v>3</x:v>
      </x:c>
      <x:c r="U41" t="n">
        <x:v>0</x:v>
      </x:c>
      <x:c r="V41" t="n">
        <x:v>2</x:v>
      </x:c>
      <x:c r="W41" t="n">
        <x:v>2</x:v>
      </x:c>
      <x:c r="X41" t="n">
        <x:v>2</x:v>
      </x:c>
      <x:c r="Y41" t="n">
        <x:v>2</x:v>
      </x:c>
      <x:c r="Z41" t="n">
        <x:v>2</x:v>
      </x:c>
      <x:c r="AA41"/>
      <x:c r="AB41"/>
      <x:c r="AC41"/>
      <x:c r="AD41"/>
      <x:c r="AE41"/>
      <x:c r="AF41"/>
      <x:c r="AG41"/>
      <x:c r="AH41"/>
      <x:c r="AI41" t="n">
        <x:f>SUM(I41,K41,M41,O41,Q41,S41,U41,W41,Y41,AA41,AC41,AE41,AG41)</x:f>
        <x:v>16</x:v>
      </x:c>
      <x:c r="AJ41" t="n">
        <x:f>SUM(J41,L41,N41,P41,R41,T41,V41,X41,Z41,AB41,AD41,AF41,AH41)</x:f>
        <x:v>22</x:v>
      </x:c>
      <x:c r="AK41" s="2" t="n">
        <x:f>IFERROR(AI41/AJ41,0)</x:f>
        <x:v>0.7272727272727273</x:v>
      </x:c>
      <x:c r="AL41" t="n">
        <x:f>IF(E41="Adequado",1,0)</x:f>
        <x:v>0</x:v>
      </x:c>
      <x:c r="AM41" t="n">
        <x:f>IF(C41="1º ano",IF(D41="referencia",Parametros!$B$4,Parametros!$B$5),IF(D41="referencia",Parametros!$B$6,Parametros!$B$7))</x:f>
        <x:v>17</x:v>
      </x:c>
      <x:c r="AN41" t="n">
        <x:f>MAX(0,AM41-AI41)</x:f>
        <x:v>1</x:v>
      </x:c>
    </x:row>
    <x:row r="42">
      <x:c r="A42" t="str">
        <x:v>1A021</x:v>
      </x:c>
      <x:c r="B42" t="str">
        <x:v>MARIA YORRANA OLIVEIRA ARAUJO</x:v>
      </x:c>
      <x:c r="C42" t="str">
        <x:v>1º ano</x:v>
      </x:c>
      <x:c r="D42" t="str">
        <x:v>referencia</x:v>
      </x:c>
      <x:c r="E42" t="str">
        <x:v>Intermediário</x:v>
      </x:c>
      <x:c r="F42" t="str">
        <x:v>Sim</x:v>
      </x:c>
      <x:c r="G42" t="str">
        <x:v>CAEd_DadosExportados.zip</x:v>
      </x:c>
      <x:c r="H42" t="str">
        <x:v>HABILIDADES_DESEMPENHO_ESTUDANTE 30-07-2026 9-16-45.csv</x:v>
      </x:c>
      <x:c r="I42" t="n">
        <x:v>2</x:v>
      </x:c>
      <x:c r="J42" t="n">
        <x:v>3</x:v>
      </x:c>
      <x:c r="K42" t="n">
        <x:v>2</x:v>
      </x:c>
      <x:c r="L42" t="n">
        <x:v>3</x:v>
      </x:c>
      <x:c r="M42" t="n">
        <x:v>1</x:v>
      </x:c>
      <x:c r="N42" t="n">
        <x:v>3</x:v>
      </x:c>
      <x:c r="O42" t="n">
        <x:v>1</x:v>
      </x:c>
      <x:c r="P42" t="n">
        <x:v>3</x:v>
      </x:c>
      <x:c r="Q42" t="n">
        <x:v>2</x:v>
      </x:c>
      <x:c r="R42" t="n">
        <x:v>3</x:v>
      </x:c>
      <x:c r="S42" t="n">
        <x:v>2</x:v>
      </x:c>
      <x:c r="T42" t="n">
        <x:v>3</x:v>
      </x:c>
      <x:c r="U42" t="n">
        <x:v>1</x:v>
      </x:c>
      <x:c r="V42" t="n">
        <x:v>2</x:v>
      </x:c>
      <x:c r="W42" t="n">
        <x:v>1</x:v>
      </x:c>
      <x:c r="X42" t="n">
        <x:v>2</x:v>
      </x:c>
      <x:c r="Y42"/>
      <x:c r="Z42"/>
      <x:c r="AA42"/>
      <x:c r="AB42"/>
      <x:c r="AC42"/>
      <x:c r="AD42"/>
      <x:c r="AE42"/>
      <x:c r="AF42"/>
      <x:c r="AG42"/>
      <x:c r="AH42"/>
      <x:c r="AI42" t="n">
        <x:f>SUM(I42,K42,M42,O42,Q42,S42,U42,W42,Y42,AA42,AC42,AE42,AG42)</x:f>
        <x:v>12</x:v>
      </x:c>
      <x:c r="AJ42" t="n">
        <x:f>SUM(J42,L42,N42,P42,R42,T42,V42,X42,Z42,AB42,AD42,AF42,AH42)</x:f>
        <x:v>22</x:v>
      </x:c>
      <x:c r="AK42" s="2" t="n">
        <x:f>IFERROR(AI42/AJ42,0)</x:f>
        <x:v>0.5454545454545454</x:v>
      </x:c>
      <x:c r="AL42" t="n">
        <x:f>IF(E42="Adequado",1,0)</x:f>
        <x:v>0</x:v>
      </x:c>
      <x:c r="AM42" t="n">
        <x:f>IF(C42="1º ano",IF(D42="referencia",Parametros!$B$4,Parametros!$B$5),IF(D42="referencia",Parametros!$B$6,Parametros!$B$7))</x:f>
        <x:v>16</x:v>
      </x:c>
      <x:c r="AN42" t="n">
        <x:f>MAX(0,AM42-AI42)</x:f>
        <x:v>4</x:v>
      </x:c>
    </x:row>
    <x:row r="43">
      <x:c r="A43" t="str">
        <x:v>1A021</x:v>
      </x:c>
      <x:c r="B43" t="str">
        <x:v>MARIA YORRANA OLIVEIRA ARAUJO</x:v>
      </x:c>
      <x:c r="C43" t="str">
        <x:v>1º ano</x:v>
      </x:c>
      <x:c r="D43" t="str">
        <x:v>contraprova</x:v>
      </x:c>
      <x:c r="E43" t="str">
        <x:v>Intermediário</x:v>
      </x:c>
      <x:c r="F43" t="str">
        <x:v>Sim</x:v>
      </x:c>
      <x:c r="G43" t="str">
        <x:v>CAEd_DadosExportados (3).zip</x:v>
      </x:c>
      <x:c r="H43" t="str">
        <x:v>HABILIDADES_DESEMPENHO_ESTUDANTE 30-07-2026 9-19-42.csv</x:v>
      </x:c>
      <x:c r="I43" t="n">
        <x:v>2</x:v>
      </x:c>
      <x:c r="J43" t="n">
        <x:v>2</x:v>
      </x:c>
      <x:c r="K43" t="n">
        <x:v>1</x:v>
      </x:c>
      <x:c r="L43" t="n">
        <x:v>2</x:v>
      </x:c>
      <x:c r="M43" t="n">
        <x:v>3</x:v>
      </x:c>
      <x:c r="N43" t="n">
        <x:v>3</x:v>
      </x:c>
      <x:c r="O43" t="n">
        <x:v>1</x:v>
      </x:c>
      <x:c r="P43" t="n">
        <x:v>3</x:v>
      </x:c>
      <x:c r="Q43" t="n">
        <x:v>1</x:v>
      </x:c>
      <x:c r="R43" t="n">
        <x:v>3</x:v>
      </x:c>
      <x:c r="S43" t="n">
        <x:v>2</x:v>
      </x:c>
      <x:c r="T43" t="n">
        <x:v>3</x:v>
      </x:c>
      <x:c r="U43" t="n">
        <x:v>1</x:v>
      </x:c>
      <x:c r="V43" t="n">
        <x:v>2</x:v>
      </x:c>
      <x:c r="W43" t="n">
        <x:v>1</x:v>
      </x:c>
      <x:c r="X43" t="n">
        <x:v>2</x:v>
      </x:c>
      <x:c r="Y43" t="n">
        <x:v>2</x:v>
      </x:c>
      <x:c r="Z43" t="n">
        <x:v>2</x:v>
      </x:c>
      <x:c r="AA43"/>
      <x:c r="AB43"/>
      <x:c r="AC43"/>
      <x:c r="AD43"/>
      <x:c r="AE43"/>
      <x:c r="AF43"/>
      <x:c r="AG43"/>
      <x:c r="AH43"/>
      <x:c r="AI43" t="n">
        <x:f>SUM(I43,K43,M43,O43,Q43,S43,U43,W43,Y43,AA43,AC43,AE43,AG43)</x:f>
        <x:v>14</x:v>
      </x:c>
      <x:c r="AJ43" t="n">
        <x:f>SUM(J43,L43,N43,P43,R43,T43,V43,X43,Z43,AB43,AD43,AF43,AH43)</x:f>
        <x:v>22</x:v>
      </x:c>
      <x:c r="AK43" s="2" t="n">
        <x:f>IFERROR(AI43/AJ43,0)</x:f>
        <x:v>0.6363636363636364</x:v>
      </x:c>
      <x:c r="AL43" t="n">
        <x:f>IF(E43="Adequado",1,0)</x:f>
        <x:v>0</x:v>
      </x:c>
      <x:c r="AM43" t="n">
        <x:f>IF(C43="1º ano",IF(D43="referencia",Parametros!$B$4,Parametros!$B$5),IF(D43="referencia",Parametros!$B$6,Parametros!$B$7))</x:f>
        <x:v>17</x:v>
      </x:c>
      <x:c r="AN43" t="n">
        <x:f>MAX(0,AM43-AI43)</x:f>
        <x:v>3</x:v>
      </x:c>
    </x:row>
    <x:row r="44">
      <x:c r="A44" t="str">
        <x:v>1A022</x:v>
      </x:c>
      <x:c r="B44" t="str">
        <x:v>MOISES TOLEDO DE SOUSA</x:v>
      </x:c>
      <x:c r="C44" t="str">
        <x:v>1º ano</x:v>
      </x:c>
      <x:c r="D44" t="str">
        <x:v>referencia</x:v>
      </x:c>
      <x:c r="E44" t="str">
        <x:v>Adequado</x:v>
      </x:c>
      <x:c r="F44" t="str">
        <x:v>Sim</x:v>
      </x:c>
      <x:c r="G44" t="str">
        <x:v>CAEd_DadosExportados.zip</x:v>
      </x:c>
      <x:c r="H44" t="str">
        <x:v>HABILIDADES_DESEMPENHO_ESTUDANTE 30-07-2026 9-16-45.csv</x:v>
      </x:c>
      <x:c r="I44" t="n">
        <x:v>2</x:v>
      </x:c>
      <x:c r="J44" t="n">
        <x:v>3</x:v>
      </x:c>
      <x:c r="K44" t="n">
        <x:v>2</x:v>
      </x:c>
      <x:c r="L44" t="n">
        <x:v>3</x:v>
      </x:c>
      <x:c r="M44" t="n">
        <x:v>3</x:v>
      </x:c>
      <x:c r="N44" t="n">
        <x:v>3</x:v>
      </x:c>
      <x:c r="O44" t="n">
        <x:v>2</x:v>
      </x:c>
      <x:c r="P44" t="n">
        <x:v>3</x:v>
      </x:c>
      <x:c r="Q44" t="n">
        <x:v>3</x:v>
      </x:c>
      <x:c r="R44" t="n">
        <x:v>3</x:v>
      </x:c>
      <x:c r="S44" t="n">
        <x:v>2</x:v>
      </x:c>
      <x:c r="T44" t="n">
        <x:v>3</x:v>
      </x:c>
      <x:c r="U44" t="n">
        <x:v>1</x:v>
      </x:c>
      <x:c r="V44" t="n">
        <x:v>2</x:v>
      </x:c>
      <x:c r="W44" t="n">
        <x:v>2</x:v>
      </x:c>
      <x:c r="X44" t="n">
        <x:v>2</x:v>
      </x:c>
      <x:c r="Y44"/>
      <x:c r="Z44"/>
      <x:c r="AA44"/>
      <x:c r="AB44"/>
      <x:c r="AC44"/>
      <x:c r="AD44"/>
      <x:c r="AE44"/>
      <x:c r="AF44"/>
      <x:c r="AG44"/>
      <x:c r="AH44"/>
      <x:c r="AI44" t="n">
        <x:f>SUM(I44,K44,M44,O44,Q44,S44,U44,W44,Y44,AA44,AC44,AE44,AG44)</x:f>
        <x:v>17</x:v>
      </x:c>
      <x:c r="AJ44" t="n">
        <x:f>SUM(J44,L44,N44,P44,R44,T44,V44,X44,Z44,AB44,AD44,AF44,AH44)</x:f>
        <x:v>22</x:v>
      </x:c>
      <x:c r="AK44" s="2" t="n">
        <x:f>IFERROR(AI44/AJ44,0)</x:f>
        <x:v>0.7727272727272727</x:v>
      </x:c>
      <x:c r="AL44" t="n">
        <x:f>IF(E44="Adequado",1,0)</x:f>
        <x:v>1</x:v>
      </x:c>
      <x:c r="AM44" t="n">
        <x:f>IF(C44="1º ano",IF(D44="referencia",Parametros!$B$4,Parametros!$B$5),IF(D44="referencia",Parametros!$B$6,Parametros!$B$7))</x:f>
        <x:v>16</x:v>
      </x:c>
      <x:c r="AN44" t="n">
        <x:f>MAX(0,AM44-AI44)</x:f>
        <x:v>0</x:v>
      </x:c>
    </x:row>
    <x:row r="45">
      <x:c r="A45" t="str">
        <x:v>1A022</x:v>
      </x:c>
      <x:c r="B45" t="str">
        <x:v>MOISES TOLEDO DE SOUSA</x:v>
      </x:c>
      <x:c r="C45" t="str">
        <x:v>1º ano</x:v>
      </x:c>
      <x:c r="D45" t="str">
        <x:v>contraprova</x:v>
      </x:c>
      <x:c r="E45" t="str">
        <x:v>Adequado</x:v>
      </x:c>
      <x:c r="F45" t="str">
        <x:v>Sim</x:v>
      </x:c>
      <x:c r="G45" t="str">
        <x:v>CAEd_DadosExportados (3).zip</x:v>
      </x:c>
      <x:c r="H45" t="str">
        <x:v>HABILIDADES_DESEMPENHO_ESTUDANTE 30-07-2026 9-19-42.csv</x:v>
      </x:c>
      <x:c r="I45" t="n">
        <x:v>2</x:v>
      </x:c>
      <x:c r="J45" t="n">
        <x:v>2</x:v>
      </x:c>
      <x:c r="K45" t="n">
        <x:v>2</x:v>
      </x:c>
      <x:c r="L45" t="n">
        <x:v>2</x:v>
      </x:c>
      <x:c r="M45" t="n">
        <x:v>3</x:v>
      </x:c>
      <x:c r="N45" t="n">
        <x:v>3</x:v>
      </x:c>
      <x:c r="O45" t="n">
        <x:v>3</x:v>
      </x:c>
      <x:c r="P45" t="n">
        <x:v>3</x:v>
      </x:c>
      <x:c r="Q45" t="n">
        <x:v>3</x:v>
      </x:c>
      <x:c r="R45" t="n">
        <x:v>3</x:v>
      </x:c>
      <x:c r="S45" t="n">
        <x:v>3</x:v>
      </x:c>
      <x:c r="T45" t="n">
        <x:v>3</x:v>
      </x:c>
      <x:c r="U45" t="n">
        <x:v>2</x:v>
      </x:c>
      <x:c r="V45" t="n">
        <x:v>2</x:v>
      </x:c>
      <x:c r="W45" t="n">
        <x:v>1</x:v>
      </x:c>
      <x:c r="X45" t="n">
        <x:v>2</x:v>
      </x:c>
      <x:c r="Y45" t="n">
        <x:v>2</x:v>
      </x:c>
      <x:c r="Z45" t="n">
        <x:v>2</x:v>
      </x:c>
      <x:c r="AA45"/>
      <x:c r="AB45"/>
      <x:c r="AC45"/>
      <x:c r="AD45"/>
      <x:c r="AE45"/>
      <x:c r="AF45"/>
      <x:c r="AG45"/>
      <x:c r="AH45"/>
      <x:c r="AI45" t="n">
        <x:f>SUM(I45,K45,M45,O45,Q45,S45,U45,W45,Y45,AA45,AC45,AE45,AG45)</x:f>
        <x:v>21</x:v>
      </x:c>
      <x:c r="AJ45" t="n">
        <x:f>SUM(J45,L45,N45,P45,R45,T45,V45,X45,Z45,AB45,AD45,AF45,AH45)</x:f>
        <x:v>22</x:v>
      </x:c>
      <x:c r="AK45" s="2" t="n">
        <x:f>IFERROR(AI45/AJ45,0)</x:f>
        <x:v>0.9545454545454546</x:v>
      </x:c>
      <x:c r="AL45" t="n">
        <x:f>IF(E45="Adequado",1,0)</x:f>
        <x:v>1</x:v>
      </x:c>
      <x:c r="AM45" t="n">
        <x:f>IF(C45="1º ano",IF(D45="referencia",Parametros!$B$4,Parametros!$B$5),IF(D45="referencia",Parametros!$B$6,Parametros!$B$7))</x:f>
        <x:v>17</x:v>
      </x:c>
      <x:c r="AN45" t="n">
        <x:f>MAX(0,AM45-AI45)</x:f>
        <x:v>0</x:v>
      </x:c>
    </x:row>
    <x:row r="46">
      <x:c r="A46" t="str">
        <x:v>1A023</x:v>
      </x:c>
      <x:c r="B46" t="str">
        <x:v>RUAN LUCAS DE SOUZA SALES</x:v>
      </x:c>
      <x:c r="C46" t="str">
        <x:v>1º ano</x:v>
      </x:c>
      <x:c r="D46" t="str">
        <x:v>referencia</x:v>
      </x:c>
      <x:c r="E46" t="str">
        <x:v>Adequado</x:v>
      </x:c>
      <x:c r="F46" t="str">
        <x:v>Sim</x:v>
      </x:c>
      <x:c r="G46" t="str">
        <x:v>CAEd_DadosExportados.zip</x:v>
      </x:c>
      <x:c r="H46" t="str">
        <x:v>HABILIDADES_DESEMPENHO_ESTUDANTE 30-07-2026 9-16-45.csv</x:v>
      </x:c>
      <x:c r="I46" t="n">
        <x:v>3</x:v>
      </x:c>
      <x:c r="J46" t="n">
        <x:v>3</x:v>
      </x:c>
      <x:c r="K46" t="n">
        <x:v>3</x:v>
      </x:c>
      <x:c r="L46" t="n">
        <x:v>3</x:v>
      </x:c>
      <x:c r="M46" t="n">
        <x:v>2</x:v>
      </x:c>
      <x:c r="N46" t="n">
        <x:v>3</x:v>
      </x:c>
      <x:c r="O46" t="n">
        <x:v>2</x:v>
      </x:c>
      <x:c r="P46" t="n">
        <x:v>3</x:v>
      </x:c>
      <x:c r="Q46" t="n">
        <x:v>3</x:v>
      </x:c>
      <x:c r="R46" t="n">
        <x:v>3</x:v>
      </x:c>
      <x:c r="S46" t="n">
        <x:v>3</x:v>
      </x:c>
      <x:c r="T46" t="n">
        <x:v>3</x:v>
      </x:c>
      <x:c r="U46" t="n">
        <x:v>2</x:v>
      </x:c>
      <x:c r="V46" t="n">
        <x:v>2</x:v>
      </x:c>
      <x:c r="W46" t="n">
        <x:v>2</x:v>
      </x:c>
      <x:c r="X46" t="n">
        <x:v>2</x:v>
      </x:c>
      <x:c r="Y46"/>
      <x:c r="Z46"/>
      <x:c r="AA46"/>
      <x:c r="AB46"/>
      <x:c r="AC46"/>
      <x:c r="AD46"/>
      <x:c r="AE46"/>
      <x:c r="AF46"/>
      <x:c r="AG46"/>
      <x:c r="AH46"/>
      <x:c r="AI46" t="n">
        <x:f>SUM(I46,K46,M46,O46,Q46,S46,U46,W46,Y46,AA46,AC46,AE46,AG46)</x:f>
        <x:v>20</x:v>
      </x:c>
      <x:c r="AJ46" t="n">
        <x:f>SUM(J46,L46,N46,P46,R46,T46,V46,X46,Z46,AB46,AD46,AF46,AH46)</x:f>
        <x:v>22</x:v>
      </x:c>
      <x:c r="AK46" s="2" t="n">
        <x:f>IFERROR(AI46/AJ46,0)</x:f>
        <x:v>0.9090909090909091</x:v>
      </x:c>
      <x:c r="AL46" t="n">
        <x:f>IF(E46="Adequado",1,0)</x:f>
        <x:v>1</x:v>
      </x:c>
      <x:c r="AM46" t="n">
        <x:f>IF(C46="1º ano",IF(D46="referencia",Parametros!$B$4,Parametros!$B$5),IF(D46="referencia",Parametros!$B$6,Parametros!$B$7))</x:f>
        <x:v>16</x:v>
      </x:c>
      <x:c r="AN46" t="n">
        <x:f>MAX(0,AM46-AI46)</x:f>
        <x:v>0</x:v>
      </x:c>
    </x:row>
    <x:row r="47">
      <x:c r="A47" t="str">
        <x:v>1A023</x:v>
      </x:c>
      <x:c r="B47" t="str">
        <x:v>RUAN LUCAS DE SOUZA SALES</x:v>
      </x:c>
      <x:c r="C47" t="str">
        <x:v>1º ano</x:v>
      </x:c>
      <x:c r="D47" t="str">
        <x:v>contraprova</x:v>
      </x:c>
      <x:c r="E47" t="str">
        <x:v>Adequado</x:v>
      </x:c>
      <x:c r="F47" t="str">
        <x:v>Sim</x:v>
      </x:c>
      <x:c r="G47" t="str">
        <x:v>CAEd_DadosExportados (3).zip</x:v>
      </x:c>
      <x:c r="H47" t="str">
        <x:v>HABILIDADES_DESEMPENHO_ESTUDANTE 30-07-2026 9-19-42.csv</x:v>
      </x:c>
      <x:c r="I47" t="n">
        <x:v>2</x:v>
      </x:c>
      <x:c r="J47" t="n">
        <x:v>2</x:v>
      </x:c>
      <x:c r="K47" t="n">
        <x:v>2</x:v>
      </x:c>
      <x:c r="L47" t="n">
        <x:v>2</x:v>
      </x:c>
      <x:c r="M47" t="n">
        <x:v>3</x:v>
      </x:c>
      <x:c r="N47" t="n">
        <x:v>3</x:v>
      </x:c>
      <x:c r="O47" t="n">
        <x:v>3</x:v>
      </x:c>
      <x:c r="P47" t="n">
        <x:v>3</x:v>
      </x:c>
      <x:c r="Q47" t="n">
        <x:v>3</x:v>
      </x:c>
      <x:c r="R47" t="n">
        <x:v>3</x:v>
      </x:c>
      <x:c r="S47" t="n">
        <x:v>3</x:v>
      </x:c>
      <x:c r="T47" t="n">
        <x:v>3</x:v>
      </x:c>
      <x:c r="U47" t="n">
        <x:v>2</x:v>
      </x:c>
      <x:c r="V47" t="n">
        <x:v>2</x:v>
      </x:c>
      <x:c r="W47" t="n">
        <x:v>2</x:v>
      </x:c>
      <x:c r="X47" t="n">
        <x:v>2</x:v>
      </x:c>
      <x:c r="Y47" t="n">
        <x:v>2</x:v>
      </x:c>
      <x:c r="Z47" t="n">
        <x:v>2</x:v>
      </x:c>
      <x:c r="AA47"/>
      <x:c r="AB47"/>
      <x:c r="AC47"/>
      <x:c r="AD47"/>
      <x:c r="AE47"/>
      <x:c r="AF47"/>
      <x:c r="AG47"/>
      <x:c r="AH47"/>
      <x:c r="AI47" t="n">
        <x:f>SUM(I47,K47,M47,O47,Q47,S47,U47,W47,Y47,AA47,AC47,AE47,AG47)</x:f>
        <x:v>22</x:v>
      </x:c>
      <x:c r="AJ47" t="n">
        <x:f>SUM(J47,L47,N47,P47,R47,T47,V47,X47,Z47,AB47,AD47,AF47,AH47)</x:f>
        <x:v>22</x:v>
      </x:c>
      <x:c r="AK47" s="2" t="n">
        <x:f>IFERROR(AI47/AJ47,0)</x:f>
        <x:v>1</x:v>
      </x:c>
      <x:c r="AL47" t="n">
        <x:f>IF(E47="Adequado",1,0)</x:f>
        <x:v>1</x:v>
      </x:c>
      <x:c r="AM47" t="n">
        <x:f>IF(C47="1º ano",IF(D47="referencia",Parametros!$B$4,Parametros!$B$5),IF(D47="referencia",Parametros!$B$6,Parametros!$B$7))</x:f>
        <x:v>17</x:v>
      </x:c>
      <x:c r="AN47" t="n">
        <x:f>MAX(0,AM47-AI47)</x:f>
        <x:v>0</x:v>
      </x:c>
    </x:row>
    <x:row r="48">
      <x:c r="A48" t="str">
        <x:v>1A024</x:v>
      </x:c>
      <x:c r="B48" t="str">
        <x:v>SARAH ELOYSE LOPES VERISSIMO</x:v>
      </x:c>
      <x:c r="C48" t="str">
        <x:v>1º ano</x:v>
      </x:c>
      <x:c r="D48" t="str">
        <x:v>referencia</x:v>
      </x:c>
      <x:c r="E48" t="str">
        <x:v>Defasagem</x:v>
      </x:c>
      <x:c r="F48" t="str">
        <x:v>Sim</x:v>
      </x:c>
      <x:c r="G48" t="str">
        <x:v>CAEd_DadosExportados.zip</x:v>
      </x:c>
      <x:c r="H48" t="str">
        <x:v>HABILIDADES_DESEMPENHO_ESTUDANTE 30-07-2026 9-16-45.csv</x:v>
      </x:c>
      <x:c r="I48" t="n">
        <x:v>0</x:v>
      </x:c>
      <x:c r="J48" t="n">
        <x:v>3</x:v>
      </x:c>
      <x:c r="K48" t="n">
        <x:v>3</x:v>
      </x:c>
      <x:c r="L48" t="n">
        <x:v>3</x:v>
      </x:c>
      <x:c r="M48" t="n">
        <x:v>1</x:v>
      </x:c>
      <x:c r="N48" t="n">
        <x:v>3</x:v>
      </x:c>
      <x:c r="O48" t="n">
        <x:v>1</x:v>
      </x:c>
      <x:c r="P48" t="n">
        <x:v>3</x:v>
      </x:c>
      <x:c r="Q48" t="n">
        <x:v>3</x:v>
      </x:c>
      <x:c r="R48" t="n">
        <x:v>3</x:v>
      </x:c>
      <x:c r="S48" t="n">
        <x:v>2</x:v>
      </x:c>
      <x:c r="T48" t="n">
        <x:v>3</x:v>
      </x:c>
      <x:c r="U48" t="n">
        <x:v>0</x:v>
      </x:c>
      <x:c r="V48" t="n">
        <x:v>2</x:v>
      </x:c>
      <x:c r="W48" t="n">
        <x:v>1</x:v>
      </x:c>
      <x:c r="X48" t="n">
        <x:v>2</x:v>
      </x:c>
      <x:c r="Y48"/>
      <x:c r="Z48"/>
      <x:c r="AA48"/>
      <x:c r="AB48"/>
      <x:c r="AC48"/>
      <x:c r="AD48"/>
      <x:c r="AE48"/>
      <x:c r="AF48"/>
      <x:c r="AG48"/>
      <x:c r="AH48"/>
      <x:c r="AI48" t="n">
        <x:f>SUM(I48,K48,M48,O48,Q48,S48,U48,W48,Y48,AA48,AC48,AE48,AG48)</x:f>
        <x:v>11</x:v>
      </x:c>
      <x:c r="AJ48" t="n">
        <x:f>SUM(J48,L48,N48,P48,R48,T48,V48,X48,Z48,AB48,AD48,AF48,AH48)</x:f>
        <x:v>22</x:v>
      </x:c>
      <x:c r="AK48" s="2" t="n">
        <x:f>IFERROR(AI48/AJ48,0)</x:f>
        <x:v>0.5</x:v>
      </x:c>
      <x:c r="AL48" t="n">
        <x:f>IF(E48="Adequado",1,0)</x:f>
        <x:v>0</x:v>
      </x:c>
      <x:c r="AM48" t="n">
        <x:f>IF(C48="1º ano",IF(D48="referencia",Parametros!$B$4,Parametros!$B$5),IF(D48="referencia",Parametros!$B$6,Parametros!$B$7))</x:f>
        <x:v>16</x:v>
      </x:c>
      <x:c r="AN48" t="n">
        <x:f>MAX(0,AM48-AI48)</x:f>
        <x:v>5</x:v>
      </x:c>
    </x:row>
    <x:row r="49">
      <x:c r="A49" t="str">
        <x:v>1A024</x:v>
      </x:c>
      <x:c r="B49" t="str">
        <x:v>SARAH ELOYSE LOPES VERISSIMO</x:v>
      </x:c>
      <x:c r="C49" t="str">
        <x:v>1º ano</x:v>
      </x:c>
      <x:c r="D49" t="str">
        <x:v>contraprova</x:v>
      </x:c>
      <x:c r="E49" t="str">
        <x:v>Adequado</x:v>
      </x:c>
      <x:c r="F49" t="str">
        <x:v>Sim</x:v>
      </x:c>
      <x:c r="G49" t="str">
        <x:v>CAEd_DadosExportados (3).zip</x:v>
      </x:c>
      <x:c r="H49" t="str">
        <x:v>HABILIDADES_DESEMPENHO_ESTUDANTE 30-07-2026 9-19-42.csv</x:v>
      </x:c>
      <x:c r="I49" t="n">
        <x:v>2</x:v>
      </x:c>
      <x:c r="J49" t="n">
        <x:v>2</x:v>
      </x:c>
      <x:c r="K49" t="n">
        <x:v>2</x:v>
      </x:c>
      <x:c r="L49" t="n">
        <x:v>2</x:v>
      </x:c>
      <x:c r="M49" t="n">
        <x:v>3</x:v>
      </x:c>
      <x:c r="N49" t="n">
        <x:v>3</x:v>
      </x:c>
      <x:c r="O49" t="n">
        <x:v>1</x:v>
      </x:c>
      <x:c r="P49" t="n">
        <x:v>3</x:v>
      </x:c>
      <x:c r="Q49" t="n">
        <x:v>1</x:v>
      </x:c>
      <x:c r="R49" t="n">
        <x:v>3</x:v>
      </x:c>
      <x:c r="S49" t="n">
        <x:v>3</x:v>
      </x:c>
      <x:c r="T49" t="n">
        <x:v>3</x:v>
      </x:c>
      <x:c r="U49" t="n">
        <x:v>1</x:v>
      </x:c>
      <x:c r="V49" t="n">
        <x:v>2</x:v>
      </x:c>
      <x:c r="W49" t="n">
        <x:v>2</x:v>
      </x:c>
      <x:c r="X49" t="n">
        <x:v>2</x:v>
      </x:c>
      <x:c r="Y49" t="n">
        <x:v>2</x:v>
      </x:c>
      <x:c r="Z49" t="n">
        <x:v>2</x:v>
      </x:c>
      <x:c r="AA49"/>
      <x:c r="AB49"/>
      <x:c r="AC49"/>
      <x:c r="AD49"/>
      <x:c r="AE49"/>
      <x:c r="AF49"/>
      <x:c r="AG49"/>
      <x:c r="AH49"/>
      <x:c r="AI49" t="n">
        <x:f>SUM(I49,K49,M49,O49,Q49,S49,U49,W49,Y49,AA49,AC49,AE49,AG49)</x:f>
        <x:v>17</x:v>
      </x:c>
      <x:c r="AJ49" t="n">
        <x:f>SUM(J49,L49,N49,P49,R49,T49,V49,X49,Z49,AB49,AD49,AF49,AH49)</x:f>
        <x:v>22</x:v>
      </x:c>
      <x:c r="AK49" s="2" t="n">
        <x:f>IFERROR(AI49/AJ49,0)</x:f>
        <x:v>0.7727272727272727</x:v>
      </x:c>
      <x:c r="AL49" t="n">
        <x:f>IF(E49="Adequado",1,0)</x:f>
        <x:v>1</x:v>
      </x:c>
      <x:c r="AM49" t="n">
        <x:f>IF(C49="1º ano",IF(D49="referencia",Parametros!$B$4,Parametros!$B$5),IF(D49="referencia",Parametros!$B$6,Parametros!$B$7))</x:f>
        <x:v>17</x:v>
      </x:c>
      <x:c r="AN49" t="n">
        <x:f>MAX(0,AM49-AI49)</x:f>
        <x:v>0</x:v>
      </x:c>
    </x:row>
    <x:row r="50">
      <x:c r="A50" t="str">
        <x:v>2A001</x:v>
      </x:c>
      <x:c r="B50" t="str">
        <x:v>ANA LAYLA DA SILVA NASCIMENTO</x:v>
      </x:c>
      <x:c r="C50" t="str">
        <x:v>2º ano</x:v>
      </x:c>
      <x:c r="D50" t="str">
        <x:v>referencia</x:v>
      </x:c>
      <x:c r="E50" t="str">
        <x:v>Intermediário</x:v>
      </x:c>
      <x:c r="F50" t="str">
        <x:v>Sim</x:v>
      </x:c>
      <x:c r="G50" t="str">
        <x:v>CAEd_DadosExportados (1).zip</x:v>
      </x:c>
      <x:c r="H50" t="str">
        <x:v>HABILIDADES_DESEMPENHO_ESTUDANTE 30-07-2026 9-18-48.csv</x:v>
      </x:c>
      <x:c r="I50" t="n">
        <x:v>1</x:v>
      </x:c>
      <x:c r="J50" t="n">
        <x:v>2</x:v>
      </x:c>
      <x:c r="K50" t="n">
        <x:v>1</x:v>
      </x:c>
      <x:c r="L50" t="n">
        <x:v>2</x:v>
      </x:c>
      <x:c r="M50" t="n">
        <x:v>2</x:v>
      </x:c>
      <x:c r="N50" t="n">
        <x:v>2</x:v>
      </x:c>
      <x:c r="O50" t="n">
        <x:v>2</x:v>
      </x:c>
      <x:c r="P50" t="n">
        <x:v>2</x:v>
      </x:c>
      <x:c r="Q50" t="n">
        <x:v>1</x:v>
      </x:c>
      <x:c r="R50" t="n">
        <x:v>1</x:v>
      </x:c>
      <x:c r="S50" t="n">
        <x:v>1</x:v>
      </x:c>
      <x:c r="T50" t="n">
        <x:v>2</x:v>
      </x:c>
      <x:c r="U50" t="n">
        <x:v>2</x:v>
      </x:c>
      <x:c r="V50" t="n">
        <x:v>2</x:v>
      </x:c>
      <x:c r="W50" t="n">
        <x:v>1</x:v>
      </x:c>
      <x:c r="X50" t="n">
        <x:v>2</x:v>
      </x:c>
      <x:c r="Y50" t="n">
        <x:v>1</x:v>
      </x:c>
      <x:c r="Z50" t="n">
        <x:v>2</x:v>
      </x:c>
      <x:c r="AA50" t="n">
        <x:v>1</x:v>
      </x:c>
      <x:c r="AB50" t="n">
        <x:v>1</x:v>
      </x:c>
      <x:c r="AC50" t="n">
        <x:v>1</x:v>
      </x:c>
      <x:c r="AD50" t="n">
        <x:v>2</x:v>
      </x:c>
      <x:c r="AE50" t="n">
        <x:v>1</x:v>
      </x:c>
      <x:c r="AF50" t="n">
        <x:v>1</x:v>
      </x:c>
      <x:c r="AG50" t="n">
        <x:v>0</x:v>
      </x:c>
      <x:c r="AH50" t="n">
        <x:v>1</x:v>
      </x:c>
      <x:c r="AI50" t="n">
        <x:f>SUM(I50,K50,M50,O50,Q50,S50,U50,W50,Y50,AA50,AC50,AE50,AG50)</x:f>
        <x:v>15</x:v>
      </x:c>
      <x:c r="AJ50" t="n">
        <x:f>SUM(J50,L50,N50,P50,R50,T50,V50,X50,Z50,AB50,AD50,AF50,AH50)</x:f>
        <x:v>22</x:v>
      </x:c>
      <x:c r="AK50" s="2" t="n">
        <x:f>IFERROR(AI50/AJ50,0)</x:f>
        <x:v>0.6818181818181818</x:v>
      </x:c>
      <x:c r="AL50" t="n">
        <x:f>IF(E50="Adequado",1,0)</x:f>
        <x:v>0</x:v>
      </x:c>
      <x:c r="AM50" t="n">
        <x:f>IF(C50="1º ano",IF(D50="referencia",Parametros!$B$4,Parametros!$B$5),IF(D50="referencia",Parametros!$B$6,Parametros!$B$7))</x:f>
        <x:v>16</x:v>
      </x:c>
      <x:c r="AN50" t="n">
        <x:f>MAX(0,AM50-AI50)</x:f>
        <x:v>1</x:v>
      </x:c>
    </x:row>
    <x:row r="51">
      <x:c r="A51" t="str">
        <x:v>2A001</x:v>
      </x:c>
      <x:c r="B51" t="str">
        <x:v>ANA LAYLA DA SILVA NASCIMENTO</x:v>
      </x:c>
      <x:c r="C51" t="str">
        <x:v>2º ano</x:v>
      </x:c>
      <x:c r="D51" t="str">
        <x:v>contraprova</x:v>
      </x:c>
      <x:c r="E51" t="str">
        <x:v>Adequado</x:v>
      </x:c>
      <x:c r="F51" t="str">
        <x:v>Sim</x:v>
      </x:c>
      <x:c r="G51" t="str">
        <x:v>CAEd_DadosExportados (2).zip</x:v>
      </x:c>
      <x:c r="H51" t="str">
        <x:v>HABILIDADES_DESEMPENHO_ESTUDANTE 30-07-2026 9-19-16.csv</x:v>
      </x:c>
      <x:c r="I51" t="n">
        <x:v>2</x:v>
      </x:c>
      <x:c r="J51" t="n">
        <x:v>2</x:v>
      </x:c>
      <x:c r="K51" t="n">
        <x:v>2</x:v>
      </x:c>
      <x:c r="L51" t="n">
        <x:v>2</x:v>
      </x:c>
      <x:c r="M51" t="n">
        <x:v>2</x:v>
      </x:c>
      <x:c r="N51" t="n">
        <x:v>2</x:v>
      </x:c>
      <x:c r="O51" t="n">
        <x:v>2</x:v>
      </x:c>
      <x:c r="P51" t="n">
        <x:v>2</x:v>
      </x:c>
      <x:c r="Q51" t="n">
        <x:v>2</x:v>
      </x:c>
      <x:c r="R51" t="n">
        <x:v>2</x:v>
      </x:c>
      <x:c r="S51" t="n">
        <x:v>2</x:v>
      </x:c>
      <x:c r="T51" t="n">
        <x:v>2</x:v>
      </x:c>
      <x:c r="U51" t="n">
        <x:v>2</x:v>
      </x:c>
      <x:c r="V51" t="n">
        <x:v>2</x:v>
      </x:c>
      <x:c r="W51" t="n">
        <x:v>2</x:v>
      </x:c>
      <x:c r="X51" t="n">
        <x:v>2</x:v>
      </x:c>
      <x:c r="Y51" t="n">
        <x:v>2</x:v>
      </x:c>
      <x:c r="Z51" t="n">
        <x:v>2</x:v>
      </x:c>
      <x:c r="AA51" t="n">
        <x:v>2</x:v>
      </x:c>
      <x:c r="AB51" t="n">
        <x:v>2</x:v>
      </x:c>
      <x:c r="AC51" t="n">
        <x:v>1</x:v>
      </x:c>
      <x:c r="AD51" t="n">
        <x:v>2</x:v>
      </x:c>
      <x:c r="AE51"/>
      <x:c r="AF51"/>
      <x:c r="AG51"/>
      <x:c r="AH51"/>
      <x:c r="AI51" t="n">
        <x:f>SUM(I51,K51,M51,O51,Q51,S51,U51,W51,Y51,AA51,AC51,AE51,AG51)</x:f>
        <x:v>21</x:v>
      </x:c>
      <x:c r="AJ51" t="n">
        <x:f>SUM(J51,L51,N51,P51,R51,T51,V51,X51,Z51,AB51,AD51,AF51,AH51)</x:f>
        <x:v>22</x:v>
      </x:c>
      <x:c r="AK51" s="2" t="n">
        <x:f>IFERROR(AI51/AJ51,0)</x:f>
        <x:v>0.9545454545454546</x:v>
      </x:c>
      <x:c r="AL51" t="n">
        <x:f>IF(E51="Adequado",1,0)</x:f>
        <x:v>1</x:v>
      </x:c>
      <x:c r="AM51" t="n">
        <x:f>IF(C51="1º ano",IF(D51="referencia",Parametros!$B$4,Parametros!$B$5),IF(D51="referencia",Parametros!$B$6,Parametros!$B$7))</x:f>
        <x:v>16</x:v>
      </x:c>
      <x:c r="AN51" t="n">
        <x:f>MAX(0,AM51-AI51)</x:f>
        <x:v>0</x:v>
      </x:c>
    </x:row>
    <x:row r="52">
      <x:c r="A52" t="str">
        <x:v>2A002</x:v>
      </x:c>
      <x:c r="B52" t="str">
        <x:v>ANA LYVIA DA SILVA NASCIMENTO</x:v>
      </x:c>
      <x:c r="C52" t="str">
        <x:v>2º ano</x:v>
      </x:c>
      <x:c r="D52" t="str">
        <x:v>referencia</x:v>
      </x:c>
      <x:c r="E52" t="str">
        <x:v>Intermediário</x:v>
      </x:c>
      <x:c r="F52" t="str">
        <x:v>Sim</x:v>
      </x:c>
      <x:c r="G52" t="str">
        <x:v>CAEd_DadosExportados (1).zip</x:v>
      </x:c>
      <x:c r="H52" t="str">
        <x:v>HABILIDADES_DESEMPENHO_ESTUDANTE 30-07-2026 9-18-48.csv</x:v>
      </x:c>
      <x:c r="I52" t="n">
        <x:v>0</x:v>
      </x:c>
      <x:c r="J52" t="n">
        <x:v>2</x:v>
      </x:c>
      <x:c r="K52" t="n">
        <x:v>2</x:v>
      </x:c>
      <x:c r="L52" t="n">
        <x:v>2</x:v>
      </x:c>
      <x:c r="M52" t="n">
        <x:v>2</x:v>
      </x:c>
      <x:c r="N52" t="n">
        <x:v>2</x:v>
      </x:c>
      <x:c r="O52" t="n">
        <x:v>2</x:v>
      </x:c>
      <x:c r="P52" t="n">
        <x:v>2</x:v>
      </x:c>
      <x:c r="Q52" t="n">
        <x:v>1</x:v>
      </x:c>
      <x:c r="R52" t="n">
        <x:v>1</x:v>
      </x:c>
      <x:c r="S52" t="n">
        <x:v>2</x:v>
      </x:c>
      <x:c r="T52" t="n">
        <x:v>2</x:v>
      </x:c>
      <x:c r="U52" t="n">
        <x:v>1</x:v>
      </x:c>
      <x:c r="V52" t="n">
        <x:v>2</x:v>
      </x:c>
      <x:c r="W52" t="n">
        <x:v>0</x:v>
      </x:c>
      <x:c r="X52" t="n">
        <x:v>2</x:v>
      </x:c>
      <x:c r="Y52" t="n">
        <x:v>1</x:v>
      </x:c>
      <x:c r="Z52" t="n">
        <x:v>2</x:v>
      </x:c>
      <x:c r="AA52" t="n">
        <x:v>1</x:v>
      </x:c>
      <x:c r="AB52" t="n">
        <x:v>1</x:v>
      </x:c>
      <x:c r="AC52" t="n">
        <x:v>1</x:v>
      </x:c>
      <x:c r="AD52" t="n">
        <x:v>2</x:v>
      </x:c>
      <x:c r="AE52" t="n">
        <x:v>1</x:v>
      </x:c>
      <x:c r="AF52" t="n">
        <x:v>1</x:v>
      </x:c>
      <x:c r="AG52" t="n">
        <x:v>1</x:v>
      </x:c>
      <x:c r="AH52" t="n">
        <x:v>1</x:v>
      </x:c>
      <x:c r="AI52" t="n">
        <x:f>SUM(I52,K52,M52,O52,Q52,S52,U52,W52,Y52,AA52,AC52,AE52,AG52)</x:f>
        <x:v>15</x:v>
      </x:c>
      <x:c r="AJ52" t="n">
        <x:f>SUM(J52,L52,N52,P52,R52,T52,V52,X52,Z52,AB52,AD52,AF52,AH52)</x:f>
        <x:v>22</x:v>
      </x:c>
      <x:c r="AK52" s="2" t="n">
        <x:f>IFERROR(AI52/AJ52,0)</x:f>
        <x:v>0.6818181818181818</x:v>
      </x:c>
      <x:c r="AL52" t="n">
        <x:f>IF(E52="Adequado",1,0)</x:f>
        <x:v>0</x:v>
      </x:c>
      <x:c r="AM52" t="n">
        <x:f>IF(C52="1º ano",IF(D52="referencia",Parametros!$B$4,Parametros!$B$5),IF(D52="referencia",Parametros!$B$6,Parametros!$B$7))</x:f>
        <x:v>16</x:v>
      </x:c>
      <x:c r="AN52" t="n">
        <x:f>MAX(0,AM52-AI52)</x:f>
        <x:v>1</x:v>
      </x:c>
    </x:row>
    <x:row r="53">
      <x:c r="A53" t="str">
        <x:v>2A002</x:v>
      </x:c>
      <x:c r="B53" t="str">
        <x:v>ANA LYVIA DA SILVA NASCIMENTO</x:v>
      </x:c>
      <x:c r="C53" t="str">
        <x:v>2º ano</x:v>
      </x:c>
      <x:c r="D53" t="str">
        <x:v>contraprova</x:v>
      </x:c>
      <x:c r="E53" t="str">
        <x:v>Intermediário</x:v>
      </x:c>
      <x:c r="F53" t="str">
        <x:v>Sim</x:v>
      </x:c>
      <x:c r="G53" t="str">
        <x:v>CAEd_DadosExportados (2).zip</x:v>
      </x:c>
      <x:c r="H53" t="str">
        <x:v>HABILIDADES_DESEMPENHO_ESTUDANTE 30-07-2026 9-19-16.csv</x:v>
      </x:c>
      <x:c r="I53" t="n">
        <x:v>0</x:v>
      </x:c>
      <x:c r="J53" t="n">
        <x:v>2</x:v>
      </x:c>
      <x:c r="K53" t="n">
        <x:v>1</x:v>
      </x:c>
      <x:c r="L53" t="n">
        <x:v>2</x:v>
      </x:c>
      <x:c r="M53" t="n">
        <x:v>2</x:v>
      </x:c>
      <x:c r="N53" t="n">
        <x:v>2</x:v>
      </x:c>
      <x:c r="O53" t="n">
        <x:v>1</x:v>
      </x:c>
      <x:c r="P53" t="n">
        <x:v>2</x:v>
      </x:c>
      <x:c r="Q53" t="n">
        <x:v>1</x:v>
      </x:c>
      <x:c r="R53" t="n">
        <x:v>2</x:v>
      </x:c>
      <x:c r="S53" t="n">
        <x:v>2</x:v>
      </x:c>
      <x:c r="T53" t="n">
        <x:v>2</x:v>
      </x:c>
      <x:c r="U53" t="n">
        <x:v>1</x:v>
      </x:c>
      <x:c r="V53" t="n">
        <x:v>2</x:v>
      </x:c>
      <x:c r="W53" t="n">
        <x:v>1</x:v>
      </x:c>
      <x:c r="X53" t="n">
        <x:v>2</x:v>
      </x:c>
      <x:c r="Y53" t="n">
        <x:v>2</x:v>
      </x:c>
      <x:c r="Z53" t="n">
        <x:v>2</x:v>
      </x:c>
      <x:c r="AA53" t="n">
        <x:v>2</x:v>
      </x:c>
      <x:c r="AB53" t="n">
        <x:v>2</x:v>
      </x:c>
      <x:c r="AC53" t="n">
        <x:v>2</x:v>
      </x:c>
      <x:c r="AD53" t="n">
        <x:v>2</x:v>
      </x:c>
      <x:c r="AE53"/>
      <x:c r="AF53"/>
      <x:c r="AG53"/>
      <x:c r="AH53"/>
      <x:c r="AI53" t="n">
        <x:f>SUM(I53,K53,M53,O53,Q53,S53,U53,W53,Y53,AA53,AC53,AE53,AG53)</x:f>
        <x:v>15</x:v>
      </x:c>
      <x:c r="AJ53" t="n">
        <x:f>SUM(J53,L53,N53,P53,R53,T53,V53,X53,Z53,AB53,AD53,AF53,AH53)</x:f>
        <x:v>22</x:v>
      </x:c>
      <x:c r="AK53" s="2" t="n">
        <x:f>IFERROR(AI53/AJ53,0)</x:f>
        <x:v>0.6818181818181818</x:v>
      </x:c>
      <x:c r="AL53" t="n">
        <x:f>IF(E53="Adequado",1,0)</x:f>
        <x:v>0</x:v>
      </x:c>
      <x:c r="AM53" t="n">
        <x:f>IF(C53="1º ano",IF(D53="referencia",Parametros!$B$4,Parametros!$B$5),IF(D53="referencia",Parametros!$B$6,Parametros!$B$7))</x:f>
        <x:v>16</x:v>
      </x:c>
      <x:c r="AN53" t="n">
        <x:f>MAX(0,AM53-AI53)</x:f>
        <x:v>1</x:v>
      </x:c>
    </x:row>
    <x:row r="54">
      <x:c r="A54" t="str">
        <x:v>2A003</x:v>
      </x:c>
      <x:c r="B54" t="str">
        <x:v>ANGELA SOPHIA BARBOZA DE OLIVEIRA</x:v>
      </x:c>
      <x:c r="C54" t="str">
        <x:v>2º ano</x:v>
      </x:c>
      <x:c r="D54" t="str">
        <x:v>referencia</x:v>
      </x:c>
      <x:c r="E54" t="str">
        <x:v>Adequado</x:v>
      </x:c>
      <x:c r="F54" t="str">
        <x:v>Sim</x:v>
      </x:c>
      <x:c r="G54" t="str">
        <x:v>CAEd_DadosExportados (1).zip</x:v>
      </x:c>
      <x:c r="H54" t="str">
        <x:v>HABILIDADES_DESEMPENHO_ESTUDANTE 30-07-2026 9-18-48.csv</x:v>
      </x:c>
      <x:c r="I54" t="n">
        <x:v>2</x:v>
      </x:c>
      <x:c r="J54" t="n">
        <x:v>2</x:v>
      </x:c>
      <x:c r="K54" t="n">
        <x:v>1</x:v>
      </x:c>
      <x:c r="L54" t="n">
        <x:v>2</x:v>
      </x:c>
      <x:c r="M54" t="n">
        <x:v>2</x:v>
      </x:c>
      <x:c r="N54" t="n">
        <x:v>2</x:v>
      </x:c>
      <x:c r="O54" t="n">
        <x:v>2</x:v>
      </x:c>
      <x:c r="P54" t="n">
        <x:v>2</x:v>
      </x:c>
      <x:c r="Q54" t="n">
        <x:v>1</x:v>
      </x:c>
      <x:c r="R54" t="n">
        <x:v>1</x:v>
      </x:c>
      <x:c r="S54" t="n">
        <x:v>1</x:v>
      </x:c>
      <x:c r="T54" t="n">
        <x:v>2</x:v>
      </x:c>
      <x:c r="U54" t="n">
        <x:v>2</x:v>
      </x:c>
      <x:c r="V54" t="n">
        <x:v>2</x:v>
      </x:c>
      <x:c r="W54" t="n">
        <x:v>2</x:v>
      </x:c>
      <x:c r="X54" t="n">
        <x:v>2</x:v>
      </x:c>
      <x:c r="Y54" t="n">
        <x:v>2</x:v>
      </x:c>
      <x:c r="Z54" t="n">
        <x:v>2</x:v>
      </x:c>
      <x:c r="AA54" t="n">
        <x:v>1</x:v>
      </x:c>
      <x:c r="AB54" t="n">
        <x:v>1</x:v>
      </x:c>
      <x:c r="AC54" t="n">
        <x:v>2</x:v>
      </x:c>
      <x:c r="AD54" t="n">
        <x:v>2</x:v>
      </x:c>
      <x:c r="AE54" t="n">
        <x:v>1</x:v>
      </x:c>
      <x:c r="AF54" t="n">
        <x:v>1</x:v>
      </x:c>
      <x:c r="AG54" t="n">
        <x:v>0</x:v>
      </x:c>
      <x:c r="AH54" t="n">
        <x:v>1</x:v>
      </x:c>
      <x:c r="AI54" t="n">
        <x:f>SUM(I54,K54,M54,O54,Q54,S54,U54,W54,Y54,AA54,AC54,AE54,AG54)</x:f>
        <x:v>19</x:v>
      </x:c>
      <x:c r="AJ54" t="n">
        <x:f>SUM(J54,L54,N54,P54,R54,T54,V54,X54,Z54,AB54,AD54,AF54,AH54)</x:f>
        <x:v>22</x:v>
      </x:c>
      <x:c r="AK54" s="2" t="n">
        <x:f>IFERROR(AI54/AJ54,0)</x:f>
        <x:v>0.8636363636363636</x:v>
      </x:c>
      <x:c r="AL54" t="n">
        <x:f>IF(E54="Adequado",1,0)</x:f>
        <x:v>1</x:v>
      </x:c>
      <x:c r="AM54" t="n">
        <x:f>IF(C54="1º ano",IF(D54="referencia",Parametros!$B$4,Parametros!$B$5),IF(D54="referencia",Parametros!$B$6,Parametros!$B$7))</x:f>
        <x:v>16</x:v>
      </x:c>
      <x:c r="AN54" t="n">
        <x:f>MAX(0,AM54-AI54)</x:f>
        <x:v>0</x:v>
      </x:c>
    </x:row>
    <x:row r="55">
      <x:c r="A55" t="str">
        <x:v>2A003</x:v>
      </x:c>
      <x:c r="B55" t="str">
        <x:v>ANGELA SOPHIA BARBOZA DE OLIVEIRA</x:v>
      </x:c>
      <x:c r="C55" t="str">
        <x:v>2º ano</x:v>
      </x:c>
      <x:c r="D55" t="str">
        <x:v>contraprova</x:v>
      </x:c>
      <x:c r="E55" t="str">
        <x:v>Adequado</x:v>
      </x:c>
      <x:c r="F55" t="str">
        <x:v>Sim</x:v>
      </x:c>
      <x:c r="G55" t="str">
        <x:v>CAEd_DadosExportados (2).zip</x:v>
      </x:c>
      <x:c r="H55" t="str">
        <x:v>HABILIDADES_DESEMPENHO_ESTUDANTE 30-07-2026 9-19-16.csv</x:v>
      </x:c>
      <x:c r="I55" t="n">
        <x:v>2</x:v>
      </x:c>
      <x:c r="J55" t="n">
        <x:v>2</x:v>
      </x:c>
      <x:c r="K55" t="n">
        <x:v>2</x:v>
      </x:c>
      <x:c r="L55" t="n">
        <x:v>2</x:v>
      </x:c>
      <x:c r="M55" t="n">
        <x:v>2</x:v>
      </x:c>
      <x:c r="N55" t="n">
        <x:v>2</x:v>
      </x:c>
      <x:c r="O55" t="n">
        <x:v>2</x:v>
      </x:c>
      <x:c r="P55" t="n">
        <x:v>2</x:v>
      </x:c>
      <x:c r="Q55" t="n">
        <x:v>2</x:v>
      </x:c>
      <x:c r="R55" t="n">
        <x:v>2</x:v>
      </x:c>
      <x:c r="S55" t="n">
        <x:v>2</x:v>
      </x:c>
      <x:c r="T55" t="n">
        <x:v>2</x:v>
      </x:c>
      <x:c r="U55" t="n">
        <x:v>2</x:v>
      </x:c>
      <x:c r="V55" t="n">
        <x:v>2</x:v>
      </x:c>
      <x:c r="W55" t="n">
        <x:v>2</x:v>
      </x:c>
      <x:c r="X55" t="n">
        <x:v>2</x:v>
      </x:c>
      <x:c r="Y55" t="n">
        <x:v>2</x:v>
      </x:c>
      <x:c r="Z55" t="n">
        <x:v>2</x:v>
      </x:c>
      <x:c r="AA55" t="n">
        <x:v>2</x:v>
      </x:c>
      <x:c r="AB55" t="n">
        <x:v>2</x:v>
      </x:c>
      <x:c r="AC55" t="n">
        <x:v>2</x:v>
      </x:c>
      <x:c r="AD55" t="n">
        <x:v>2</x:v>
      </x:c>
      <x:c r="AE55"/>
      <x:c r="AF55"/>
      <x:c r="AG55"/>
      <x:c r="AH55"/>
      <x:c r="AI55" t="n">
        <x:f>SUM(I55,K55,M55,O55,Q55,S55,U55,W55,Y55,AA55,AC55,AE55,AG55)</x:f>
        <x:v>22</x:v>
      </x:c>
      <x:c r="AJ55" t="n">
        <x:f>SUM(J55,L55,N55,P55,R55,T55,V55,X55,Z55,AB55,AD55,AF55,AH55)</x:f>
        <x:v>22</x:v>
      </x:c>
      <x:c r="AK55" s="2" t="n">
        <x:f>IFERROR(AI55/AJ55,0)</x:f>
        <x:v>1</x:v>
      </x:c>
      <x:c r="AL55" t="n">
        <x:f>IF(E55="Adequado",1,0)</x:f>
        <x:v>1</x:v>
      </x:c>
      <x:c r="AM55" t="n">
        <x:f>IF(C55="1º ano",IF(D55="referencia",Parametros!$B$4,Parametros!$B$5),IF(D55="referencia",Parametros!$B$6,Parametros!$B$7))</x:f>
        <x:v>16</x:v>
      </x:c>
      <x:c r="AN55" t="n">
        <x:f>MAX(0,AM55-AI55)</x:f>
        <x:v>0</x:v>
      </x:c>
    </x:row>
    <x:row r="56">
      <x:c r="A56" t="str">
        <x:v>2A004</x:v>
      </x:c>
      <x:c r="B56" t="str">
        <x:v>ANTONIA AURORA GOMES MELO</x:v>
      </x:c>
      <x:c r="C56" t="str">
        <x:v>2º ano</x:v>
      </x:c>
      <x:c r="D56" t="str">
        <x:v>referencia</x:v>
      </x:c>
      <x:c r="E56" t="str">
        <x:v>Adequado</x:v>
      </x:c>
      <x:c r="F56" t="str">
        <x:v>Sim</x:v>
      </x:c>
      <x:c r="G56" t="str">
        <x:v>CAEd_DadosExportados (1).zip</x:v>
      </x:c>
      <x:c r="H56" t="str">
        <x:v>HABILIDADES_DESEMPENHO_ESTUDANTE 30-07-2026 9-18-48.csv</x:v>
      </x:c>
      <x:c r="I56" t="n">
        <x:v>1</x:v>
      </x:c>
      <x:c r="J56" t="n">
        <x:v>2</x:v>
      </x:c>
      <x:c r="K56" t="n">
        <x:v>1</x:v>
      </x:c>
      <x:c r="L56" t="n">
        <x:v>2</x:v>
      </x:c>
      <x:c r="M56" t="n">
        <x:v>2</x:v>
      </x:c>
      <x:c r="N56" t="n">
        <x:v>2</x:v>
      </x:c>
      <x:c r="O56" t="n">
        <x:v>2</x:v>
      </x:c>
      <x:c r="P56" t="n">
        <x:v>2</x:v>
      </x:c>
      <x:c r="Q56" t="n">
        <x:v>1</x:v>
      </x:c>
      <x:c r="R56" t="n">
        <x:v>1</x:v>
      </x:c>
      <x:c r="S56" t="n">
        <x:v>1</x:v>
      </x:c>
      <x:c r="T56" t="n">
        <x:v>2</x:v>
      </x:c>
      <x:c r="U56" t="n">
        <x:v>2</x:v>
      </x:c>
      <x:c r="V56" t="n">
        <x:v>2</x:v>
      </x:c>
      <x:c r="W56" t="n">
        <x:v>2</x:v>
      </x:c>
      <x:c r="X56" t="n">
        <x:v>2</x:v>
      </x:c>
      <x:c r="Y56" t="n">
        <x:v>2</x:v>
      </x:c>
      <x:c r="Z56" t="n">
        <x:v>2</x:v>
      </x:c>
      <x:c r="AA56" t="n">
        <x:v>1</x:v>
      </x:c>
      <x:c r="AB56" t="n">
        <x:v>1</x:v>
      </x:c>
      <x:c r="AC56" t="n">
        <x:v>2</x:v>
      </x:c>
      <x:c r="AD56" t="n">
        <x:v>2</x:v>
      </x:c>
      <x:c r="AE56" t="n">
        <x:v>1</x:v>
      </x:c>
      <x:c r="AF56" t="n">
        <x:v>1</x:v>
      </x:c>
      <x:c r="AG56" t="n">
        <x:v>0</x:v>
      </x:c>
      <x:c r="AH56" t="n">
        <x:v>1</x:v>
      </x:c>
      <x:c r="AI56" t="n">
        <x:f>SUM(I56,K56,M56,O56,Q56,S56,U56,W56,Y56,AA56,AC56,AE56,AG56)</x:f>
        <x:v>18</x:v>
      </x:c>
      <x:c r="AJ56" t="n">
        <x:f>SUM(J56,L56,N56,P56,R56,T56,V56,X56,Z56,AB56,AD56,AF56,AH56)</x:f>
        <x:v>22</x:v>
      </x:c>
      <x:c r="AK56" s="2" t="n">
        <x:f>IFERROR(AI56/AJ56,0)</x:f>
        <x:v>0.8181818181818182</x:v>
      </x:c>
      <x:c r="AL56" t="n">
        <x:f>IF(E56="Adequado",1,0)</x:f>
        <x:v>1</x:v>
      </x:c>
      <x:c r="AM56" t="n">
        <x:f>IF(C56="1º ano",IF(D56="referencia",Parametros!$B$4,Parametros!$B$5),IF(D56="referencia",Parametros!$B$6,Parametros!$B$7))</x:f>
        <x:v>16</x:v>
      </x:c>
      <x:c r="AN56" t="n">
        <x:f>MAX(0,AM56-AI56)</x:f>
        <x:v>0</x:v>
      </x:c>
    </x:row>
    <x:row r="57">
      <x:c r="A57" t="str">
        <x:v>2A004</x:v>
      </x:c>
      <x:c r="B57" t="str">
        <x:v>ANTONIA AURORA GOMES MELO</x:v>
      </x:c>
      <x:c r="C57" t="str">
        <x:v>2º ano</x:v>
      </x:c>
      <x:c r="D57" t="str">
        <x:v>contraprova</x:v>
      </x:c>
      <x:c r="E57" t="str">
        <x:v>Adequado</x:v>
      </x:c>
      <x:c r="F57" t="str">
        <x:v>Sim</x:v>
      </x:c>
      <x:c r="G57" t="str">
        <x:v>CAEd_DadosExportados (2).zip</x:v>
      </x:c>
      <x:c r="H57" t="str">
        <x:v>HABILIDADES_DESEMPENHO_ESTUDANTE 30-07-2026 9-19-16.csv</x:v>
      </x:c>
      <x:c r="I57" t="n">
        <x:v>2</x:v>
      </x:c>
      <x:c r="J57" t="n">
        <x:v>2</x:v>
      </x:c>
      <x:c r="K57" t="n">
        <x:v>2</x:v>
      </x:c>
      <x:c r="L57" t="n">
        <x:v>2</x:v>
      </x:c>
      <x:c r="M57" t="n">
        <x:v>2</x:v>
      </x:c>
      <x:c r="N57" t="n">
        <x:v>2</x:v>
      </x:c>
      <x:c r="O57" t="n">
        <x:v>2</x:v>
      </x:c>
      <x:c r="P57" t="n">
        <x:v>2</x:v>
      </x:c>
      <x:c r="Q57" t="n">
        <x:v>2</x:v>
      </x:c>
      <x:c r="R57" t="n">
        <x:v>2</x:v>
      </x:c>
      <x:c r="S57" t="n">
        <x:v>2</x:v>
      </x:c>
      <x:c r="T57" t="n">
        <x:v>2</x:v>
      </x:c>
      <x:c r="U57" t="n">
        <x:v>2</x:v>
      </x:c>
      <x:c r="V57" t="n">
        <x:v>2</x:v>
      </x:c>
      <x:c r="W57" t="n">
        <x:v>2</x:v>
      </x:c>
      <x:c r="X57" t="n">
        <x:v>2</x:v>
      </x:c>
      <x:c r="Y57" t="n">
        <x:v>2</x:v>
      </x:c>
      <x:c r="Z57" t="n">
        <x:v>2</x:v>
      </x:c>
      <x:c r="AA57" t="n">
        <x:v>2</x:v>
      </x:c>
      <x:c r="AB57" t="n">
        <x:v>2</x:v>
      </x:c>
      <x:c r="AC57" t="n">
        <x:v>2</x:v>
      </x:c>
      <x:c r="AD57" t="n">
        <x:v>2</x:v>
      </x:c>
      <x:c r="AE57"/>
      <x:c r="AF57"/>
      <x:c r="AG57"/>
      <x:c r="AH57"/>
      <x:c r="AI57" t="n">
        <x:f>SUM(I57,K57,M57,O57,Q57,S57,U57,W57,Y57,AA57,AC57,AE57,AG57)</x:f>
        <x:v>22</x:v>
      </x:c>
      <x:c r="AJ57" t="n">
        <x:f>SUM(J57,L57,N57,P57,R57,T57,V57,X57,Z57,AB57,AD57,AF57,AH57)</x:f>
        <x:v>22</x:v>
      </x:c>
      <x:c r="AK57" s="2" t="n">
        <x:f>IFERROR(AI57/AJ57,0)</x:f>
        <x:v>1</x:v>
      </x:c>
      <x:c r="AL57" t="n">
        <x:f>IF(E57="Adequado",1,0)</x:f>
        <x:v>1</x:v>
      </x:c>
      <x:c r="AM57" t="n">
        <x:f>IF(C57="1º ano",IF(D57="referencia",Parametros!$B$4,Parametros!$B$5),IF(D57="referencia",Parametros!$B$6,Parametros!$B$7))</x:f>
        <x:v>16</x:v>
      </x:c>
      <x:c r="AN57" t="n">
        <x:f>MAX(0,AM57-AI57)</x:f>
        <x:v>0</x:v>
      </x:c>
    </x:row>
    <x:row r="58">
      <x:c r="A58" t="str">
        <x:v>2A005</x:v>
      </x:c>
      <x:c r="B58" t="str">
        <x:v>ANTONIO SAMUEL DE OLIVEIRA VERAS</x:v>
      </x:c>
      <x:c r="C58" t="str">
        <x:v>2º ano</x:v>
      </x:c>
      <x:c r="D58" t="str">
        <x:v>referencia</x:v>
      </x:c>
      <x:c r="E58" t="str">
        <x:v>Defasagem</x:v>
      </x:c>
      <x:c r="F58" t="str">
        <x:v>Sim</x:v>
      </x:c>
      <x:c r="G58" t="str">
        <x:v>CAEd_DadosExportados (1).zip</x:v>
      </x:c>
      <x:c r="H58" t="str">
        <x:v>HABILIDADES_DESEMPENHO_ESTUDANTE 30-07-2026 9-18-48.csv</x:v>
      </x:c>
      <x:c r="I58" t="n">
        <x:v>1</x:v>
      </x:c>
      <x:c r="J58" t="n">
        <x:v>2</x:v>
      </x:c>
      <x:c r="K58" t="n">
        <x:v>0</x:v>
      </x:c>
      <x:c r="L58" t="n">
        <x:v>2</x:v>
      </x:c>
      <x:c r="M58" t="n">
        <x:v>1</x:v>
      </x:c>
      <x:c r="N58" t="n">
        <x:v>2</x:v>
      </x:c>
      <x:c r="O58" t="n">
        <x:v>1</x:v>
      </x:c>
      <x:c r="P58" t="n">
        <x:v>2</x:v>
      </x:c>
      <x:c r="Q58" t="n">
        <x:v>1</x:v>
      </x:c>
      <x:c r="R58" t="n">
        <x:v>1</x:v>
      </x:c>
      <x:c r="S58" t="n">
        <x:v>0</x:v>
      </x:c>
      <x:c r="T58" t="n">
        <x:v>2</x:v>
      </x:c>
      <x:c r="U58" t="n">
        <x:v>0</x:v>
      </x:c>
      <x:c r="V58" t="n">
        <x:v>2</x:v>
      </x:c>
      <x:c r="W58" t="n">
        <x:v>0</x:v>
      </x:c>
      <x:c r="X58" t="n">
        <x:v>2</x:v>
      </x:c>
      <x:c r="Y58" t="n">
        <x:v>2</x:v>
      </x:c>
      <x:c r="Z58" t="n">
        <x:v>2</x:v>
      </x:c>
      <x:c r="AA58" t="n">
        <x:v>0</x:v>
      </x:c>
      <x:c r="AB58" t="n">
        <x:v>1</x:v>
      </x:c>
      <x:c r="AC58" t="n">
        <x:v>0</x:v>
      </x:c>
      <x:c r="AD58" t="n">
        <x:v>2</x:v>
      </x:c>
      <x:c r="AE58" t="n">
        <x:v>0</x:v>
      </x:c>
      <x:c r="AF58" t="n">
        <x:v>1</x:v>
      </x:c>
      <x:c r="AG58" t="n">
        <x:v>1</x:v>
      </x:c>
      <x:c r="AH58" t="n">
        <x:v>1</x:v>
      </x:c>
      <x:c r="AI58" t="n">
        <x:f>SUM(I58,K58,M58,O58,Q58,S58,U58,W58,Y58,AA58,AC58,AE58,AG58)</x:f>
        <x:v>7</x:v>
      </x:c>
      <x:c r="AJ58" t="n">
        <x:f>SUM(J58,L58,N58,P58,R58,T58,V58,X58,Z58,AB58,AD58,AF58,AH58)</x:f>
        <x:v>22</x:v>
      </x:c>
      <x:c r="AK58" s="2" t="n">
        <x:f>IFERROR(AI58/AJ58,0)</x:f>
        <x:v>0.3181818181818182</x:v>
      </x:c>
      <x:c r="AL58" t="n">
        <x:f>IF(E58="Adequado",1,0)</x:f>
        <x:v>0</x:v>
      </x:c>
      <x:c r="AM58" t="n">
        <x:f>IF(C58="1º ano",IF(D58="referencia",Parametros!$B$4,Parametros!$B$5),IF(D58="referencia",Parametros!$B$6,Parametros!$B$7))</x:f>
        <x:v>16</x:v>
      </x:c>
      <x:c r="AN58" t="n">
        <x:f>MAX(0,AM58-AI58)</x:f>
        <x:v>9</x:v>
      </x:c>
    </x:row>
    <x:row r="59">
      <x:c r="A59" t="str">
        <x:v>2A005</x:v>
      </x:c>
      <x:c r="B59" t="str">
        <x:v>ANTONIO SAMUEL DE OLIVEIRA VERAS</x:v>
      </x:c>
      <x:c r="C59" t="str">
        <x:v>2º ano</x:v>
      </x:c>
      <x:c r="D59" t="str">
        <x:v>contraprova</x:v>
      </x:c>
      <x:c r="E59" t="str">
        <x:v>Defasagem</x:v>
      </x:c>
      <x:c r="F59" t="str">
        <x:v>Sim</x:v>
      </x:c>
      <x:c r="G59" t="str">
        <x:v>CAEd_DadosExportados (2).zip</x:v>
      </x:c>
      <x:c r="H59" t="str">
        <x:v>HABILIDADES_DESEMPENHO_ESTUDANTE 30-07-2026 9-19-16.csv</x:v>
      </x:c>
      <x:c r="I59" t="n">
        <x:v>0</x:v>
      </x:c>
      <x:c r="J59" t="n">
        <x:v>2</x:v>
      </x:c>
      <x:c r="K59" t="n">
        <x:v>0</x:v>
      </x:c>
      <x:c r="L59" t="n">
        <x:v>2</x:v>
      </x:c>
      <x:c r="M59" t="n">
        <x:v>2</x:v>
      </x:c>
      <x:c r="N59" t="n">
        <x:v>2</x:v>
      </x:c>
      <x:c r="O59" t="n">
        <x:v>0</x:v>
      </x:c>
      <x:c r="P59" t="n">
        <x:v>2</x:v>
      </x:c>
      <x:c r="Q59" t="n">
        <x:v>1</x:v>
      </x:c>
      <x:c r="R59" t="n">
        <x:v>2</x:v>
      </x:c>
      <x:c r="S59" t="n">
        <x:v>0</x:v>
      </x:c>
      <x:c r="T59" t="n">
        <x:v>2</x:v>
      </x:c>
      <x:c r="U59" t="n">
        <x:v>0</x:v>
      </x:c>
      <x:c r="V59" t="n">
        <x:v>2</x:v>
      </x:c>
      <x:c r="W59" t="n">
        <x:v>0</x:v>
      </x:c>
      <x:c r="X59" t="n">
        <x:v>2</x:v>
      </x:c>
      <x:c r="Y59" t="n">
        <x:v>2</x:v>
      </x:c>
      <x:c r="Z59" t="n">
        <x:v>2</x:v>
      </x:c>
      <x:c r="AA59" t="n">
        <x:v>0</x:v>
      </x:c>
      <x:c r="AB59" t="n">
        <x:v>2</x:v>
      </x:c>
      <x:c r="AC59" t="n">
        <x:v>0</x:v>
      </x:c>
      <x:c r="AD59" t="n">
        <x:v>2</x:v>
      </x:c>
      <x:c r="AE59"/>
      <x:c r="AF59"/>
      <x:c r="AG59"/>
      <x:c r="AH59"/>
      <x:c r="AI59" t="n">
        <x:f>SUM(I59,K59,M59,O59,Q59,S59,U59,W59,Y59,AA59,AC59,AE59,AG59)</x:f>
        <x:v>5</x:v>
      </x:c>
      <x:c r="AJ59" t="n">
        <x:f>SUM(J59,L59,N59,P59,R59,T59,V59,X59,Z59,AB59,AD59,AF59,AH59)</x:f>
        <x:v>22</x:v>
      </x:c>
      <x:c r="AK59" s="2" t="n">
        <x:f>IFERROR(AI59/AJ59,0)</x:f>
        <x:v>0.22727272727272727</x:v>
      </x:c>
      <x:c r="AL59" t="n">
        <x:f>IF(E59="Adequado",1,0)</x:f>
        <x:v>0</x:v>
      </x:c>
      <x:c r="AM59" t="n">
        <x:f>IF(C59="1º ano",IF(D59="referencia",Parametros!$B$4,Parametros!$B$5),IF(D59="referencia",Parametros!$B$6,Parametros!$B$7))</x:f>
        <x:v>16</x:v>
      </x:c>
      <x:c r="AN59" t="n">
        <x:f>MAX(0,AM59-AI59)</x:f>
        <x:v>11</x:v>
      </x:c>
    </x:row>
    <x:row r="60">
      <x:c r="A60" t="str">
        <x:v>2A006</x:v>
      </x:c>
      <x:c r="B60" t="str">
        <x:v>CECILIA AQUINO DE SOUSA</x:v>
      </x:c>
      <x:c r="C60" t="str">
        <x:v>2º ano</x:v>
      </x:c>
      <x:c r="D60" t="str">
        <x:v>referencia</x:v>
      </x:c>
      <x:c r="E60" t="str">
        <x:v>Adequado</x:v>
      </x:c>
      <x:c r="F60" t="str">
        <x:v>Sim</x:v>
      </x:c>
      <x:c r="G60" t="str">
        <x:v>CAEd_DadosExportados (1).zip</x:v>
      </x:c>
      <x:c r="H60" t="str">
        <x:v>HABILIDADES_DESEMPENHO_ESTUDANTE 30-07-2026 9-18-48.csv</x:v>
      </x:c>
      <x:c r="I60" t="n">
        <x:v>2</x:v>
      </x:c>
      <x:c r="J60" t="n">
        <x:v>2</x:v>
      </x:c>
      <x:c r="K60" t="n">
        <x:v>1</x:v>
      </x:c>
      <x:c r="L60" t="n">
        <x:v>2</x:v>
      </x:c>
      <x:c r="M60" t="n">
        <x:v>2</x:v>
      </x:c>
      <x:c r="N60" t="n">
        <x:v>2</x:v>
      </x:c>
      <x:c r="O60" t="n">
        <x:v>1</x:v>
      </x:c>
      <x:c r="P60" t="n">
        <x:v>2</x:v>
      </x:c>
      <x:c r="Q60" t="n">
        <x:v>1</x:v>
      </x:c>
      <x:c r="R60" t="n">
        <x:v>1</x:v>
      </x:c>
      <x:c r="S60" t="n">
        <x:v>2</x:v>
      </x:c>
      <x:c r="T60" t="n">
        <x:v>2</x:v>
      </x:c>
      <x:c r="U60" t="n">
        <x:v>2</x:v>
      </x:c>
      <x:c r="V60" t="n">
        <x:v>2</x:v>
      </x:c>
      <x:c r="W60" t="n">
        <x:v>1</x:v>
      </x:c>
      <x:c r="X60" t="n">
        <x:v>2</x:v>
      </x:c>
      <x:c r="Y60" t="n">
        <x:v>2</x:v>
      </x:c>
      <x:c r="Z60" t="n">
        <x:v>2</x:v>
      </x:c>
      <x:c r="AA60" t="n">
        <x:v>1</x:v>
      </x:c>
      <x:c r="AB60" t="n">
        <x:v>1</x:v>
      </x:c>
      <x:c r="AC60" t="n">
        <x:v>2</x:v>
      </x:c>
      <x:c r="AD60" t="n">
        <x:v>2</x:v>
      </x:c>
      <x:c r="AE60" t="n">
        <x:v>1</x:v>
      </x:c>
      <x:c r="AF60" t="n">
        <x:v>1</x:v>
      </x:c>
      <x:c r="AG60" t="n">
        <x:v>0</x:v>
      </x:c>
      <x:c r="AH60" t="n">
        <x:v>1</x:v>
      </x:c>
      <x:c r="AI60" t="n">
        <x:f>SUM(I60,K60,M60,O60,Q60,S60,U60,W60,Y60,AA60,AC60,AE60,AG60)</x:f>
        <x:v>18</x:v>
      </x:c>
      <x:c r="AJ60" t="n">
        <x:f>SUM(J60,L60,N60,P60,R60,T60,V60,X60,Z60,AB60,AD60,AF60,AH60)</x:f>
        <x:v>22</x:v>
      </x:c>
      <x:c r="AK60" s="2" t="n">
        <x:f>IFERROR(AI60/AJ60,0)</x:f>
        <x:v>0.8181818181818182</x:v>
      </x:c>
      <x:c r="AL60" t="n">
        <x:f>IF(E60="Adequado",1,0)</x:f>
        <x:v>1</x:v>
      </x:c>
      <x:c r="AM60" t="n">
        <x:f>IF(C60="1º ano",IF(D60="referencia",Parametros!$B$4,Parametros!$B$5),IF(D60="referencia",Parametros!$B$6,Parametros!$B$7))</x:f>
        <x:v>16</x:v>
      </x:c>
      <x:c r="AN60" t="n">
        <x:f>MAX(0,AM60-AI60)</x:f>
        <x:v>0</x:v>
      </x:c>
    </x:row>
    <x:row r="61">
      <x:c r="A61" t="str">
        <x:v>2A006</x:v>
      </x:c>
      <x:c r="B61" t="str">
        <x:v>CECILIA AQUINO DE SOUSA</x:v>
      </x:c>
      <x:c r="C61" t="str">
        <x:v>2º ano</x:v>
      </x:c>
      <x:c r="D61" t="str">
        <x:v>contraprova</x:v>
      </x:c>
      <x:c r="E61" t="str">
        <x:v>Intermediário</x:v>
      </x:c>
      <x:c r="F61" t="str">
        <x:v>Sim</x:v>
      </x:c>
      <x:c r="G61" t="str">
        <x:v>CAEd_DadosExportados (2).zip</x:v>
      </x:c>
      <x:c r="H61" t="str">
        <x:v>HABILIDADES_DESEMPENHO_ESTUDANTE 30-07-2026 9-19-16.csv</x:v>
      </x:c>
      <x:c r="I61" t="n">
        <x:v>1</x:v>
      </x:c>
      <x:c r="J61" t="n">
        <x:v>2</x:v>
      </x:c>
      <x:c r="K61" t="n">
        <x:v>0</x:v>
      </x:c>
      <x:c r="L61" t="n">
        <x:v>2</x:v>
      </x:c>
      <x:c r="M61" t="n">
        <x:v>2</x:v>
      </x:c>
      <x:c r="N61" t="n">
        <x:v>2</x:v>
      </x:c>
      <x:c r="O61" t="n">
        <x:v>2</x:v>
      </x:c>
      <x:c r="P61" t="n">
        <x:v>2</x:v>
      </x:c>
      <x:c r="Q61" t="n">
        <x:v>2</x:v>
      </x:c>
      <x:c r="R61" t="n">
        <x:v>2</x:v>
      </x:c>
      <x:c r="S61" t="n">
        <x:v>1</x:v>
      </x:c>
      <x:c r="T61" t="n">
        <x:v>2</x:v>
      </x:c>
      <x:c r="U61" t="n">
        <x:v>0</x:v>
      </x:c>
      <x:c r="V61" t="n">
        <x:v>2</x:v>
      </x:c>
      <x:c r="W61" t="n">
        <x:v>1</x:v>
      </x:c>
      <x:c r="X61" t="n">
        <x:v>2</x:v>
      </x:c>
      <x:c r="Y61" t="n">
        <x:v>2</x:v>
      </x:c>
      <x:c r="Z61" t="n">
        <x:v>2</x:v>
      </x:c>
      <x:c r="AA61" t="n">
        <x:v>1</x:v>
      </x:c>
      <x:c r="AB61" t="n">
        <x:v>2</x:v>
      </x:c>
      <x:c r="AC61" t="n">
        <x:v>2</x:v>
      </x:c>
      <x:c r="AD61" t="n">
        <x:v>2</x:v>
      </x:c>
      <x:c r="AE61"/>
      <x:c r="AF61"/>
      <x:c r="AG61"/>
      <x:c r="AH61"/>
      <x:c r="AI61" t="n">
        <x:f>SUM(I61,K61,M61,O61,Q61,S61,U61,W61,Y61,AA61,AC61,AE61,AG61)</x:f>
        <x:v>14</x:v>
      </x:c>
      <x:c r="AJ61" t="n">
        <x:f>SUM(J61,L61,N61,P61,R61,T61,V61,X61,Z61,AB61,AD61,AF61,AH61)</x:f>
        <x:v>22</x:v>
      </x:c>
      <x:c r="AK61" s="2" t="n">
        <x:f>IFERROR(AI61/AJ61,0)</x:f>
        <x:v>0.6363636363636364</x:v>
      </x:c>
      <x:c r="AL61" t="n">
        <x:f>IF(E61="Adequado",1,0)</x:f>
        <x:v>0</x:v>
      </x:c>
      <x:c r="AM61" t="n">
        <x:f>IF(C61="1º ano",IF(D61="referencia",Parametros!$B$4,Parametros!$B$5),IF(D61="referencia",Parametros!$B$6,Parametros!$B$7))</x:f>
        <x:v>16</x:v>
      </x:c>
      <x:c r="AN61" t="n">
        <x:f>MAX(0,AM61-AI61)</x:f>
        <x:v>2</x:v>
      </x:c>
    </x:row>
    <x:row r="62">
      <x:c r="A62" t="str">
        <x:v>2A007</x:v>
      </x:c>
      <x:c r="B62" t="str">
        <x:v>DAVI ARAUJO MARTINS</x:v>
      </x:c>
      <x:c r="C62" t="str">
        <x:v>2º ano</x:v>
      </x:c>
      <x:c r="D62" t="str">
        <x:v>referencia</x:v>
      </x:c>
      <x:c r="E62" t="str">
        <x:v>Intermediário</x:v>
      </x:c>
      <x:c r="F62" t="str">
        <x:v>Sim</x:v>
      </x:c>
      <x:c r="G62" t="str">
        <x:v>CAEd_DadosExportados (1).zip</x:v>
      </x:c>
      <x:c r="H62" t="str">
        <x:v>HABILIDADES_DESEMPENHO_ESTUDANTE 30-07-2026 9-18-48.csv</x:v>
      </x:c>
      <x:c r="I62" t="n">
        <x:v>1</x:v>
      </x:c>
      <x:c r="J62" t="n">
        <x:v>2</x:v>
      </x:c>
      <x:c r="K62" t="n">
        <x:v>0</x:v>
      </x:c>
      <x:c r="L62" t="n">
        <x:v>2</x:v>
      </x:c>
      <x:c r="M62" t="n">
        <x:v>2</x:v>
      </x:c>
      <x:c r="N62" t="n">
        <x:v>2</x:v>
      </x:c>
      <x:c r="O62" t="n">
        <x:v>2</x:v>
      </x:c>
      <x:c r="P62" t="n">
        <x:v>2</x:v>
      </x:c>
      <x:c r="Q62" t="n">
        <x:v>1</x:v>
      </x:c>
      <x:c r="R62" t="n">
        <x:v>1</x:v>
      </x:c>
      <x:c r="S62" t="n">
        <x:v>2</x:v>
      </x:c>
      <x:c r="T62" t="n">
        <x:v>2</x:v>
      </x:c>
      <x:c r="U62" t="n">
        <x:v>2</x:v>
      </x:c>
      <x:c r="V62" t="n">
        <x:v>2</x:v>
      </x:c>
      <x:c r="W62" t="n">
        <x:v>1</x:v>
      </x:c>
      <x:c r="X62" t="n">
        <x:v>2</x:v>
      </x:c>
      <x:c r="Y62" t="n">
        <x:v>2</x:v>
      </x:c>
      <x:c r="Z62" t="n">
        <x:v>2</x:v>
      </x:c>
      <x:c r="AA62" t="n">
        <x:v>0</x:v>
      </x:c>
      <x:c r="AB62" t="n">
        <x:v>1</x:v>
      </x:c>
      <x:c r="AC62" t="n">
        <x:v>0</x:v>
      </x:c>
      <x:c r="AD62" t="n">
        <x:v>2</x:v>
      </x:c>
      <x:c r="AE62" t="n">
        <x:v>0</x:v>
      </x:c>
      <x:c r="AF62" t="n">
        <x:v>1</x:v>
      </x:c>
      <x:c r="AG62" t="n">
        <x:v>1</x:v>
      </x:c>
      <x:c r="AH62" t="n">
        <x:v>1</x:v>
      </x:c>
      <x:c r="AI62" t="n">
        <x:f>SUM(I62,K62,M62,O62,Q62,S62,U62,W62,Y62,AA62,AC62,AE62,AG62)</x:f>
        <x:v>14</x:v>
      </x:c>
      <x:c r="AJ62" t="n">
        <x:f>SUM(J62,L62,N62,P62,R62,T62,V62,X62,Z62,AB62,AD62,AF62,AH62)</x:f>
        <x:v>22</x:v>
      </x:c>
      <x:c r="AK62" s="2" t="n">
        <x:f>IFERROR(AI62/AJ62,0)</x:f>
        <x:v>0.6363636363636364</x:v>
      </x:c>
      <x:c r="AL62" t="n">
        <x:f>IF(E62="Adequado",1,0)</x:f>
        <x:v>0</x:v>
      </x:c>
      <x:c r="AM62" t="n">
        <x:f>IF(C62="1º ano",IF(D62="referencia",Parametros!$B$4,Parametros!$B$5),IF(D62="referencia",Parametros!$B$6,Parametros!$B$7))</x:f>
        <x:v>16</x:v>
      </x:c>
      <x:c r="AN62" t="n">
        <x:f>MAX(0,AM62-AI62)</x:f>
        <x:v>2</x:v>
      </x:c>
    </x:row>
    <x:row r="63">
      <x:c r="A63" t="str">
        <x:v>2A007</x:v>
      </x:c>
      <x:c r="B63" t="str">
        <x:v>DAVI ARAUJO MARTINS</x:v>
      </x:c>
      <x:c r="C63" t="str">
        <x:v>2º ano</x:v>
      </x:c>
      <x:c r="D63" t="str">
        <x:v>contraprova</x:v>
      </x:c>
      <x:c r="E63" t="str">
        <x:v>Adequado</x:v>
      </x:c>
      <x:c r="F63" t="str">
        <x:v>Sim</x:v>
      </x:c>
      <x:c r="G63" t="str">
        <x:v>CAEd_DadosExportados (2).zip</x:v>
      </x:c>
      <x:c r="H63" t="str">
        <x:v>HABILIDADES_DESEMPENHO_ESTUDANTE 30-07-2026 9-19-16.csv</x:v>
      </x:c>
      <x:c r="I63" t="n">
        <x:v>1</x:v>
      </x:c>
      <x:c r="J63" t="n">
        <x:v>2</x:v>
      </x:c>
      <x:c r="K63" t="n">
        <x:v>2</x:v>
      </x:c>
      <x:c r="L63" t="n">
        <x:v>2</x:v>
      </x:c>
      <x:c r="M63" t="n">
        <x:v>2</x:v>
      </x:c>
      <x:c r="N63" t="n">
        <x:v>2</x:v>
      </x:c>
      <x:c r="O63" t="n">
        <x:v>2</x:v>
      </x:c>
      <x:c r="P63" t="n">
        <x:v>2</x:v>
      </x:c>
      <x:c r="Q63" t="n">
        <x:v>2</x:v>
      </x:c>
      <x:c r="R63" t="n">
        <x:v>2</x:v>
      </x:c>
      <x:c r="S63" t="n">
        <x:v>2</x:v>
      </x:c>
      <x:c r="T63" t="n">
        <x:v>2</x:v>
      </x:c>
      <x:c r="U63" t="n">
        <x:v>1</x:v>
      </x:c>
      <x:c r="V63" t="n">
        <x:v>2</x:v>
      </x:c>
      <x:c r="W63" t="n">
        <x:v>1</x:v>
      </x:c>
      <x:c r="X63" t="n">
        <x:v>2</x:v>
      </x:c>
      <x:c r="Y63" t="n">
        <x:v>2</x:v>
      </x:c>
      <x:c r="Z63" t="n">
        <x:v>2</x:v>
      </x:c>
      <x:c r="AA63" t="n">
        <x:v>2</x:v>
      </x:c>
      <x:c r="AB63" t="n">
        <x:v>2</x:v>
      </x:c>
      <x:c r="AC63" t="n">
        <x:v>2</x:v>
      </x:c>
      <x:c r="AD63" t="n">
        <x:v>2</x:v>
      </x:c>
      <x:c r="AE63"/>
      <x:c r="AF63"/>
      <x:c r="AG63"/>
      <x:c r="AH63"/>
      <x:c r="AI63" t="n">
        <x:f>SUM(I63,K63,M63,O63,Q63,S63,U63,W63,Y63,AA63,AC63,AE63,AG63)</x:f>
        <x:v>19</x:v>
      </x:c>
      <x:c r="AJ63" t="n">
        <x:f>SUM(J63,L63,N63,P63,R63,T63,V63,X63,Z63,AB63,AD63,AF63,AH63)</x:f>
        <x:v>22</x:v>
      </x:c>
      <x:c r="AK63" s="2" t="n">
        <x:f>IFERROR(AI63/AJ63,0)</x:f>
        <x:v>0.8636363636363636</x:v>
      </x:c>
      <x:c r="AL63" t="n">
        <x:f>IF(E63="Adequado",1,0)</x:f>
        <x:v>1</x:v>
      </x:c>
      <x:c r="AM63" t="n">
        <x:f>IF(C63="1º ano",IF(D63="referencia",Parametros!$B$4,Parametros!$B$5),IF(D63="referencia",Parametros!$B$6,Parametros!$B$7))</x:f>
        <x:v>16</x:v>
      </x:c>
      <x:c r="AN63" t="n">
        <x:f>MAX(0,AM63-AI63)</x:f>
        <x:v>0</x:v>
      </x:c>
    </x:row>
    <x:row r="64">
      <x:c r="A64" t="str">
        <x:v>2A008</x:v>
      </x:c>
      <x:c r="B64" t="str">
        <x:v>DÉBORAH EMANUELLY BERTOLDO PEREIRA</x:v>
      </x:c>
      <x:c r="C64" t="str">
        <x:v>2º ano</x:v>
      </x:c>
      <x:c r="D64" t="str">
        <x:v>referencia</x:v>
      </x:c>
      <x:c r="E64" t="str">
        <x:v>Adequado</x:v>
      </x:c>
      <x:c r="F64" t="str">
        <x:v>Sim</x:v>
      </x:c>
      <x:c r="G64" t="str">
        <x:v>CAEd_DadosExportados (1).zip</x:v>
      </x:c>
      <x:c r="H64" t="str">
        <x:v>HABILIDADES_DESEMPENHO_ESTUDANTE 30-07-2026 9-18-48.csv</x:v>
      </x:c>
      <x:c r="I64" t="n">
        <x:v>2</x:v>
      </x:c>
      <x:c r="J64" t="n">
        <x:v>2</x:v>
      </x:c>
      <x:c r="K64" t="n">
        <x:v>2</x:v>
      </x:c>
      <x:c r="L64" t="n">
        <x:v>2</x:v>
      </x:c>
      <x:c r="M64" t="n">
        <x:v>2</x:v>
      </x:c>
      <x:c r="N64" t="n">
        <x:v>2</x:v>
      </x:c>
      <x:c r="O64" t="n">
        <x:v>2</x:v>
      </x:c>
      <x:c r="P64" t="n">
        <x:v>2</x:v>
      </x:c>
      <x:c r="Q64" t="n">
        <x:v>1</x:v>
      </x:c>
      <x:c r="R64" t="n">
        <x:v>1</x:v>
      </x:c>
      <x:c r="S64" t="n">
        <x:v>2</x:v>
      </x:c>
      <x:c r="T64" t="n">
        <x:v>2</x:v>
      </x:c>
      <x:c r="U64" t="n">
        <x:v>2</x:v>
      </x:c>
      <x:c r="V64" t="n">
        <x:v>2</x:v>
      </x:c>
      <x:c r="W64" t="n">
        <x:v>2</x:v>
      </x:c>
      <x:c r="X64" t="n">
        <x:v>2</x:v>
      </x:c>
      <x:c r="Y64" t="n">
        <x:v>2</x:v>
      </x:c>
      <x:c r="Z64" t="n">
        <x:v>2</x:v>
      </x:c>
      <x:c r="AA64" t="n">
        <x:v>1</x:v>
      </x:c>
      <x:c r="AB64" t="n">
        <x:v>1</x:v>
      </x:c>
      <x:c r="AC64" t="n">
        <x:v>2</x:v>
      </x:c>
      <x:c r="AD64" t="n">
        <x:v>2</x:v>
      </x:c>
      <x:c r="AE64" t="n">
        <x:v>1</x:v>
      </x:c>
      <x:c r="AF64" t="n">
        <x:v>1</x:v>
      </x:c>
      <x:c r="AG64" t="n">
        <x:v>1</x:v>
      </x:c>
      <x:c r="AH64" t="n">
        <x:v>1</x:v>
      </x:c>
      <x:c r="AI64" t="n">
        <x:f>SUM(I64,K64,M64,O64,Q64,S64,U64,W64,Y64,AA64,AC64,AE64,AG64)</x:f>
        <x:v>22</x:v>
      </x:c>
      <x:c r="AJ64" t="n">
        <x:f>SUM(J64,L64,N64,P64,R64,T64,V64,X64,Z64,AB64,AD64,AF64,AH64)</x:f>
        <x:v>22</x:v>
      </x:c>
      <x:c r="AK64" s="2" t="n">
        <x:f>IFERROR(AI64/AJ64,0)</x:f>
        <x:v>1</x:v>
      </x:c>
      <x:c r="AL64" t="n">
        <x:f>IF(E64="Adequado",1,0)</x:f>
        <x:v>1</x:v>
      </x:c>
      <x:c r="AM64" t="n">
        <x:f>IF(C64="1º ano",IF(D64="referencia",Parametros!$B$4,Parametros!$B$5),IF(D64="referencia",Parametros!$B$6,Parametros!$B$7))</x:f>
        <x:v>16</x:v>
      </x:c>
      <x:c r="AN64" t="n">
        <x:f>MAX(0,AM64-AI64)</x:f>
        <x:v>0</x:v>
      </x:c>
    </x:row>
    <x:row r="65">
      <x:c r="A65" t="str">
        <x:v>2A009</x:v>
      </x:c>
      <x:c r="B65" t="str">
        <x:v>FRANCISCO LUCCA NEVES GONCALVES</x:v>
      </x:c>
      <x:c r="C65" t="str">
        <x:v>2º ano</x:v>
      </x:c>
      <x:c r="D65" t="str">
        <x:v>referencia</x:v>
      </x:c>
      <x:c r="E65" t="str">
        <x:v>Defasagem</x:v>
      </x:c>
      <x:c r="F65" t="str">
        <x:v>Sim</x:v>
      </x:c>
      <x:c r="G65" t="str">
        <x:v>CAEd_DadosExportados (1).zip</x:v>
      </x:c>
      <x:c r="H65" t="str">
        <x:v>HABILIDADES_DESEMPENHO_ESTUDANTE 30-07-2026 9-18-48.csv</x:v>
      </x:c>
      <x:c r="I65" t="n">
        <x:v>1</x:v>
      </x:c>
      <x:c r="J65" t="n">
        <x:v>2</x:v>
      </x:c>
      <x:c r="K65" t="n">
        <x:v>0</x:v>
      </x:c>
      <x:c r="L65" t="n">
        <x:v>2</x:v>
      </x:c>
      <x:c r="M65" t="n">
        <x:v>2</x:v>
      </x:c>
      <x:c r="N65" t="n">
        <x:v>2</x:v>
      </x:c>
      <x:c r="O65" t="n">
        <x:v>2</x:v>
      </x:c>
      <x:c r="P65" t="n">
        <x:v>2</x:v>
      </x:c>
      <x:c r="Q65" t="n">
        <x:v>1</x:v>
      </x:c>
      <x:c r="R65" t="n">
        <x:v>1</x:v>
      </x:c>
      <x:c r="S65" t="n">
        <x:v>0</x:v>
      </x:c>
      <x:c r="T65" t="n">
        <x:v>2</x:v>
      </x:c>
      <x:c r="U65" t="n">
        <x:v>1</x:v>
      </x:c>
      <x:c r="V65" t="n">
        <x:v>2</x:v>
      </x:c>
      <x:c r="W65" t="n">
        <x:v>1</x:v>
      </x:c>
      <x:c r="X65" t="n">
        <x:v>2</x:v>
      </x:c>
      <x:c r="Y65" t="n">
        <x:v>2</x:v>
      </x:c>
      <x:c r="Z65" t="n">
        <x:v>2</x:v>
      </x:c>
      <x:c r="AA65" t="n">
        <x:v>0</x:v>
      </x:c>
      <x:c r="AB65" t="n">
        <x:v>1</x:v>
      </x:c>
      <x:c r="AC65" t="n">
        <x:v>0</x:v>
      </x:c>
      <x:c r="AD65" t="n">
        <x:v>2</x:v>
      </x:c>
      <x:c r="AE65" t="n">
        <x:v>0</x:v>
      </x:c>
      <x:c r="AF65" t="n">
        <x:v>1</x:v>
      </x:c>
      <x:c r="AG65" t="n">
        <x:v>1</x:v>
      </x:c>
      <x:c r="AH65" t="n">
        <x:v>1</x:v>
      </x:c>
      <x:c r="AI65" t="n">
        <x:f>SUM(I65,K65,M65,O65,Q65,S65,U65,W65,Y65,AA65,AC65,AE65,AG65)</x:f>
        <x:v>11</x:v>
      </x:c>
      <x:c r="AJ65" t="n">
        <x:f>SUM(J65,L65,N65,P65,R65,T65,V65,X65,Z65,AB65,AD65,AF65,AH65)</x:f>
        <x:v>22</x:v>
      </x:c>
      <x:c r="AK65" s="2" t="n">
        <x:f>IFERROR(AI65/AJ65,0)</x:f>
        <x:v>0.5</x:v>
      </x:c>
      <x:c r="AL65" t="n">
        <x:f>IF(E65="Adequado",1,0)</x:f>
        <x:v>0</x:v>
      </x:c>
      <x:c r="AM65" t="n">
        <x:f>IF(C65="1º ano",IF(D65="referencia",Parametros!$B$4,Parametros!$B$5),IF(D65="referencia",Parametros!$B$6,Parametros!$B$7))</x:f>
        <x:v>16</x:v>
      </x:c>
      <x:c r="AN65" t="n">
        <x:f>MAX(0,AM65-AI65)</x:f>
        <x:v>5</x:v>
      </x:c>
    </x:row>
    <x:row r="66">
      <x:c r="A66" t="str">
        <x:v>2A009</x:v>
      </x:c>
      <x:c r="B66" t="str">
        <x:v>FRANCISCO LUCCA NEVES GONCALVES</x:v>
      </x:c>
      <x:c r="C66" t="str">
        <x:v>2º ano</x:v>
      </x:c>
      <x:c r="D66" t="str">
        <x:v>contraprova</x:v>
      </x:c>
      <x:c r="E66" t="str">
        <x:v>Adequado</x:v>
      </x:c>
      <x:c r="F66" t="str">
        <x:v>Sim</x:v>
      </x:c>
      <x:c r="G66" t="str">
        <x:v>CAEd_DadosExportados (2).zip</x:v>
      </x:c>
      <x:c r="H66" t="str">
        <x:v>HABILIDADES_DESEMPENHO_ESTUDANTE 30-07-2026 9-19-16.csv</x:v>
      </x:c>
      <x:c r="I66" t="n">
        <x:v>2</x:v>
      </x:c>
      <x:c r="J66" t="n">
        <x:v>2</x:v>
      </x:c>
      <x:c r="K66" t="n">
        <x:v>2</x:v>
      </x:c>
      <x:c r="L66" t="n">
        <x:v>2</x:v>
      </x:c>
      <x:c r="M66" t="n">
        <x:v>2</x:v>
      </x:c>
      <x:c r="N66" t="n">
        <x:v>2</x:v>
      </x:c>
      <x:c r="O66" t="n">
        <x:v>2</x:v>
      </x:c>
      <x:c r="P66" t="n">
        <x:v>2</x:v>
      </x:c>
      <x:c r="Q66" t="n">
        <x:v>2</x:v>
      </x:c>
      <x:c r="R66" t="n">
        <x:v>2</x:v>
      </x:c>
      <x:c r="S66" t="n">
        <x:v>2</x:v>
      </x:c>
      <x:c r="T66" t="n">
        <x:v>2</x:v>
      </x:c>
      <x:c r="U66" t="n">
        <x:v>2</x:v>
      </x:c>
      <x:c r="V66" t="n">
        <x:v>2</x:v>
      </x:c>
      <x:c r="W66" t="n">
        <x:v>2</x:v>
      </x:c>
      <x:c r="X66" t="n">
        <x:v>2</x:v>
      </x:c>
      <x:c r="Y66" t="n">
        <x:v>2</x:v>
      </x:c>
      <x:c r="Z66" t="n">
        <x:v>2</x:v>
      </x:c>
      <x:c r="AA66" t="n">
        <x:v>2</x:v>
      </x:c>
      <x:c r="AB66" t="n">
        <x:v>2</x:v>
      </x:c>
      <x:c r="AC66" t="n">
        <x:v>2</x:v>
      </x:c>
      <x:c r="AD66" t="n">
        <x:v>2</x:v>
      </x:c>
      <x:c r="AE66"/>
      <x:c r="AF66"/>
      <x:c r="AG66"/>
      <x:c r="AH66"/>
      <x:c r="AI66" t="n">
        <x:f>SUM(I66,K66,M66,O66,Q66,S66,U66,W66,Y66,AA66,AC66,AE66,AG66)</x:f>
        <x:v>22</x:v>
      </x:c>
      <x:c r="AJ66" t="n">
        <x:f>SUM(J66,L66,N66,P66,R66,T66,V66,X66,Z66,AB66,AD66,AF66,AH66)</x:f>
        <x:v>22</x:v>
      </x:c>
      <x:c r="AK66" s="2" t="n">
        <x:f>IFERROR(AI66/AJ66,0)</x:f>
        <x:v>1</x:v>
      </x:c>
      <x:c r="AL66" t="n">
        <x:f>IF(E66="Adequado",1,0)</x:f>
        <x:v>1</x:v>
      </x:c>
      <x:c r="AM66" t="n">
        <x:f>IF(C66="1º ano",IF(D66="referencia",Parametros!$B$4,Parametros!$B$5),IF(D66="referencia",Parametros!$B$6,Parametros!$B$7))</x:f>
        <x:v>16</x:v>
      </x:c>
      <x:c r="AN66" t="n">
        <x:f>MAX(0,AM66-AI66)</x:f>
        <x:v>0</x:v>
      </x:c>
    </x:row>
    <x:row r="67">
      <x:c r="A67" t="str">
        <x:v>2A010</x:v>
      </x:c>
      <x:c r="B67" t="str">
        <x:v>GABRIEL MACEDO DE MELO</x:v>
      </x:c>
      <x:c r="C67" t="str">
        <x:v>2º ano</x:v>
      </x:c>
      <x:c r="D67" t="str">
        <x:v>referencia</x:v>
      </x:c>
      <x:c r="E67" t="str">
        <x:v>Adequado</x:v>
      </x:c>
      <x:c r="F67" t="str">
        <x:v>Sim</x:v>
      </x:c>
      <x:c r="G67" t="str">
        <x:v>CAEd_DadosExportados (1).zip</x:v>
      </x:c>
      <x:c r="H67" t="str">
        <x:v>HABILIDADES_DESEMPENHO_ESTUDANTE 30-07-2026 9-18-48.csv</x:v>
      </x:c>
      <x:c r="I67" t="n">
        <x:v>2</x:v>
      </x:c>
      <x:c r="J67" t="n">
        <x:v>2</x:v>
      </x:c>
      <x:c r="K67" t="n">
        <x:v>1</x:v>
      </x:c>
      <x:c r="L67" t="n">
        <x:v>2</x:v>
      </x:c>
      <x:c r="M67" t="n">
        <x:v>2</x:v>
      </x:c>
      <x:c r="N67" t="n">
        <x:v>2</x:v>
      </x:c>
      <x:c r="O67" t="n">
        <x:v>2</x:v>
      </x:c>
      <x:c r="P67" t="n">
        <x:v>2</x:v>
      </x:c>
      <x:c r="Q67" t="n">
        <x:v>1</x:v>
      </x:c>
      <x:c r="R67" t="n">
        <x:v>1</x:v>
      </x:c>
      <x:c r="S67" t="n">
        <x:v>1</x:v>
      </x:c>
      <x:c r="T67" t="n">
        <x:v>2</x:v>
      </x:c>
      <x:c r="U67" t="n">
        <x:v>2</x:v>
      </x:c>
      <x:c r="V67" t="n">
        <x:v>2</x:v>
      </x:c>
      <x:c r="W67" t="n">
        <x:v>2</x:v>
      </x:c>
      <x:c r="X67" t="n">
        <x:v>2</x:v>
      </x:c>
      <x:c r="Y67" t="n">
        <x:v>1</x:v>
      </x:c>
      <x:c r="Z67" t="n">
        <x:v>2</x:v>
      </x:c>
      <x:c r="AA67" t="n">
        <x:v>1</x:v>
      </x:c>
      <x:c r="AB67" t="n">
        <x:v>1</x:v>
      </x:c>
      <x:c r="AC67" t="n">
        <x:v>1</x:v>
      </x:c>
      <x:c r="AD67" t="n">
        <x:v>2</x:v>
      </x:c>
      <x:c r="AE67" t="n">
        <x:v>1</x:v>
      </x:c>
      <x:c r="AF67" t="n">
        <x:v>1</x:v>
      </x:c>
      <x:c r="AG67" t="n">
        <x:v>1</x:v>
      </x:c>
      <x:c r="AH67" t="n">
        <x:v>1</x:v>
      </x:c>
      <x:c r="AI67" t="n">
        <x:f>SUM(I67,K67,M67,O67,Q67,S67,U67,W67,Y67,AA67,AC67,AE67,AG67)</x:f>
        <x:v>18</x:v>
      </x:c>
      <x:c r="AJ67" t="n">
        <x:f>SUM(J67,L67,N67,P67,R67,T67,V67,X67,Z67,AB67,AD67,AF67,AH67)</x:f>
        <x:v>22</x:v>
      </x:c>
      <x:c r="AK67" s="2" t="n">
        <x:f>IFERROR(AI67/AJ67,0)</x:f>
        <x:v>0.8181818181818182</x:v>
      </x:c>
      <x:c r="AL67" t="n">
        <x:f>IF(E67="Adequado",1,0)</x:f>
        <x:v>1</x:v>
      </x:c>
      <x:c r="AM67" t="n">
        <x:f>IF(C67="1º ano",IF(D67="referencia",Parametros!$B$4,Parametros!$B$5),IF(D67="referencia",Parametros!$B$6,Parametros!$B$7))</x:f>
        <x:v>16</x:v>
      </x:c>
      <x:c r="AN67" t="n">
        <x:f>MAX(0,AM67-AI67)</x:f>
        <x:v>0</x:v>
      </x:c>
    </x:row>
    <x:row r="68">
      <x:c r="A68" t="str">
        <x:v>2A010</x:v>
      </x:c>
      <x:c r="B68" t="str">
        <x:v>GABRIEL MACEDO DE MELO</x:v>
      </x:c>
      <x:c r="C68" t="str">
        <x:v>2º ano</x:v>
      </x:c>
      <x:c r="D68" t="str">
        <x:v>contraprova</x:v>
      </x:c>
      <x:c r="E68" t="str">
        <x:v>Adequado</x:v>
      </x:c>
      <x:c r="F68" t="str">
        <x:v>Sim</x:v>
      </x:c>
      <x:c r="G68" t="str">
        <x:v>CAEd_DadosExportados (2).zip</x:v>
      </x:c>
      <x:c r="H68" t="str">
        <x:v>HABILIDADES_DESEMPENHO_ESTUDANTE 30-07-2026 9-19-16.csv</x:v>
      </x:c>
      <x:c r="I68" t="n">
        <x:v>2</x:v>
      </x:c>
      <x:c r="J68" t="n">
        <x:v>2</x:v>
      </x:c>
      <x:c r="K68" t="n">
        <x:v>2</x:v>
      </x:c>
      <x:c r="L68" t="n">
        <x:v>2</x:v>
      </x:c>
      <x:c r="M68" t="n">
        <x:v>2</x:v>
      </x:c>
      <x:c r="N68" t="n">
        <x:v>2</x:v>
      </x:c>
      <x:c r="O68" t="n">
        <x:v>2</x:v>
      </x:c>
      <x:c r="P68" t="n">
        <x:v>2</x:v>
      </x:c>
      <x:c r="Q68" t="n">
        <x:v>2</x:v>
      </x:c>
      <x:c r="R68" t="n">
        <x:v>2</x:v>
      </x:c>
      <x:c r="S68" t="n">
        <x:v>2</x:v>
      </x:c>
      <x:c r="T68" t="n">
        <x:v>2</x:v>
      </x:c>
      <x:c r="U68" t="n">
        <x:v>2</x:v>
      </x:c>
      <x:c r="V68" t="n">
        <x:v>2</x:v>
      </x:c>
      <x:c r="W68" t="n">
        <x:v>2</x:v>
      </x:c>
      <x:c r="X68" t="n">
        <x:v>2</x:v>
      </x:c>
      <x:c r="Y68" t="n">
        <x:v>2</x:v>
      </x:c>
      <x:c r="Z68" t="n">
        <x:v>2</x:v>
      </x:c>
      <x:c r="AA68" t="n">
        <x:v>2</x:v>
      </x:c>
      <x:c r="AB68" t="n">
        <x:v>2</x:v>
      </x:c>
      <x:c r="AC68" t="n">
        <x:v>2</x:v>
      </x:c>
      <x:c r="AD68" t="n">
        <x:v>2</x:v>
      </x:c>
      <x:c r="AE68"/>
      <x:c r="AF68"/>
      <x:c r="AG68"/>
      <x:c r="AH68"/>
      <x:c r="AI68" t="n">
        <x:f>SUM(I68,K68,M68,O68,Q68,S68,U68,W68,Y68,AA68,AC68,AE68,AG68)</x:f>
        <x:v>22</x:v>
      </x:c>
      <x:c r="AJ68" t="n">
        <x:f>SUM(J68,L68,N68,P68,R68,T68,V68,X68,Z68,AB68,AD68,AF68,AH68)</x:f>
        <x:v>22</x:v>
      </x:c>
      <x:c r="AK68" s="2" t="n">
        <x:f>IFERROR(AI68/AJ68,0)</x:f>
        <x:v>1</x:v>
      </x:c>
      <x:c r="AL68" t="n">
        <x:f>IF(E68="Adequado",1,0)</x:f>
        <x:v>1</x:v>
      </x:c>
      <x:c r="AM68" t="n">
        <x:f>IF(C68="1º ano",IF(D68="referencia",Parametros!$B$4,Parametros!$B$5),IF(D68="referencia",Parametros!$B$6,Parametros!$B$7))</x:f>
        <x:v>16</x:v>
      </x:c>
      <x:c r="AN68" t="n">
        <x:f>MAX(0,AM68-AI68)</x:f>
        <x:v>0</x:v>
      </x:c>
    </x:row>
    <x:row r="69">
      <x:c r="A69" t="str">
        <x:v>2A011</x:v>
      </x:c>
      <x:c r="B69" t="str">
        <x:v>GUILHERME MATIAS BRAZ</x:v>
      </x:c>
      <x:c r="C69" t="str">
        <x:v>2º ano</x:v>
      </x:c>
      <x:c r="D69" t="str">
        <x:v>referencia</x:v>
      </x:c>
      <x:c r="E69" t="str">
        <x:v>Adequado</x:v>
      </x:c>
      <x:c r="F69" t="str">
        <x:v>Sim</x:v>
      </x:c>
      <x:c r="G69" t="str">
        <x:v>CAEd_DadosExportados (1).zip</x:v>
      </x:c>
      <x:c r="H69" t="str">
        <x:v>HABILIDADES_DESEMPENHO_ESTUDANTE 30-07-2026 9-18-48.csv</x:v>
      </x:c>
      <x:c r="I69" t="n">
        <x:v>0</x:v>
      </x:c>
      <x:c r="J69" t="n">
        <x:v>2</x:v>
      </x:c>
      <x:c r="K69" t="n">
        <x:v>2</x:v>
      </x:c>
      <x:c r="L69" t="n">
        <x:v>2</x:v>
      </x:c>
      <x:c r="M69" t="n">
        <x:v>2</x:v>
      </x:c>
      <x:c r="N69" t="n">
        <x:v>2</x:v>
      </x:c>
      <x:c r="O69" t="n">
        <x:v>2</x:v>
      </x:c>
      <x:c r="P69" t="n">
        <x:v>2</x:v>
      </x:c>
      <x:c r="Q69" t="n">
        <x:v>1</x:v>
      </x:c>
      <x:c r="R69" t="n">
        <x:v>1</x:v>
      </x:c>
      <x:c r="S69" t="n">
        <x:v>2</x:v>
      </x:c>
      <x:c r="T69" t="n">
        <x:v>2</x:v>
      </x:c>
      <x:c r="U69" t="n">
        <x:v>2</x:v>
      </x:c>
      <x:c r="V69" t="n">
        <x:v>2</x:v>
      </x:c>
      <x:c r="W69" t="n">
        <x:v>1</x:v>
      </x:c>
      <x:c r="X69" t="n">
        <x:v>2</x:v>
      </x:c>
      <x:c r="Y69" t="n">
        <x:v>2</x:v>
      </x:c>
      <x:c r="Z69" t="n">
        <x:v>2</x:v>
      </x:c>
      <x:c r="AA69" t="n">
        <x:v>1</x:v>
      </x:c>
      <x:c r="AB69" t="n">
        <x:v>1</x:v>
      </x:c>
      <x:c r="AC69" t="n">
        <x:v>1</x:v>
      </x:c>
      <x:c r="AD69" t="n">
        <x:v>2</x:v>
      </x:c>
      <x:c r="AE69" t="n">
        <x:v>0</x:v>
      </x:c>
      <x:c r="AF69" t="n">
        <x:v>1</x:v>
      </x:c>
      <x:c r="AG69" t="n">
        <x:v>0</x:v>
      </x:c>
      <x:c r="AH69" t="n">
        <x:v>1</x:v>
      </x:c>
      <x:c r="AI69" t="n">
        <x:f>SUM(I69,K69,M69,O69,Q69,S69,U69,W69,Y69,AA69,AC69,AE69,AG69)</x:f>
        <x:v>16</x:v>
      </x:c>
      <x:c r="AJ69" t="n">
        <x:f>SUM(J69,L69,N69,P69,R69,T69,V69,X69,Z69,AB69,AD69,AF69,AH69)</x:f>
        <x:v>22</x:v>
      </x:c>
      <x:c r="AK69" s="2" t="n">
        <x:f>IFERROR(AI69/AJ69,0)</x:f>
        <x:v>0.7272727272727273</x:v>
      </x:c>
      <x:c r="AL69" t="n">
        <x:f>IF(E69="Adequado",1,0)</x:f>
        <x:v>1</x:v>
      </x:c>
      <x:c r="AM69" t="n">
        <x:f>IF(C69="1º ano",IF(D69="referencia",Parametros!$B$4,Parametros!$B$5),IF(D69="referencia",Parametros!$B$6,Parametros!$B$7))</x:f>
        <x:v>16</x:v>
      </x:c>
      <x:c r="AN69" t="n">
        <x:f>MAX(0,AM69-AI69)</x:f>
        <x:v>0</x:v>
      </x:c>
    </x:row>
    <x:row r="70">
      <x:c r="A70" t="str">
        <x:v>2A011</x:v>
      </x:c>
      <x:c r="B70" t="str">
        <x:v>GUILHERME MATIAS BRAZ</x:v>
      </x:c>
      <x:c r="C70" t="str">
        <x:v>2º ano</x:v>
      </x:c>
      <x:c r="D70" t="str">
        <x:v>contraprova</x:v>
      </x:c>
      <x:c r="E70" t="str">
        <x:v>Adequado</x:v>
      </x:c>
      <x:c r="F70" t="str">
        <x:v>Sim</x:v>
      </x:c>
      <x:c r="G70" t="str">
        <x:v>CAEd_DadosExportados (2).zip</x:v>
      </x:c>
      <x:c r="H70" t="str">
        <x:v>HABILIDADES_DESEMPENHO_ESTUDANTE 30-07-2026 9-19-16.csv</x:v>
      </x:c>
      <x:c r="I70" t="n">
        <x:v>1</x:v>
      </x:c>
      <x:c r="J70" t="n">
        <x:v>2</x:v>
      </x:c>
      <x:c r="K70" t="n">
        <x:v>2</x:v>
      </x:c>
      <x:c r="L70" t="n">
        <x:v>2</x:v>
      </x:c>
      <x:c r="M70" t="n">
        <x:v>2</x:v>
      </x:c>
      <x:c r="N70" t="n">
        <x:v>2</x:v>
      </x:c>
      <x:c r="O70" t="n">
        <x:v>2</x:v>
      </x:c>
      <x:c r="P70" t="n">
        <x:v>2</x:v>
      </x:c>
      <x:c r="Q70" t="n">
        <x:v>2</x:v>
      </x:c>
      <x:c r="R70" t="n">
        <x:v>2</x:v>
      </x:c>
      <x:c r="S70" t="n">
        <x:v>2</x:v>
      </x:c>
      <x:c r="T70" t="n">
        <x:v>2</x:v>
      </x:c>
      <x:c r="U70" t="n">
        <x:v>1</x:v>
      </x:c>
      <x:c r="V70" t="n">
        <x:v>2</x:v>
      </x:c>
      <x:c r="W70" t="n">
        <x:v>1</x:v>
      </x:c>
      <x:c r="X70" t="n">
        <x:v>2</x:v>
      </x:c>
      <x:c r="Y70" t="n">
        <x:v>2</x:v>
      </x:c>
      <x:c r="Z70" t="n">
        <x:v>2</x:v>
      </x:c>
      <x:c r="AA70" t="n">
        <x:v>2</x:v>
      </x:c>
      <x:c r="AB70" t="n">
        <x:v>2</x:v>
      </x:c>
      <x:c r="AC70" t="n">
        <x:v>2</x:v>
      </x:c>
      <x:c r="AD70" t="n">
        <x:v>2</x:v>
      </x:c>
      <x:c r="AE70"/>
      <x:c r="AF70"/>
      <x:c r="AG70"/>
      <x:c r="AH70"/>
      <x:c r="AI70" t="n">
        <x:f>SUM(I70,K70,M70,O70,Q70,S70,U70,W70,Y70,AA70,AC70,AE70,AG70)</x:f>
        <x:v>19</x:v>
      </x:c>
      <x:c r="AJ70" t="n">
        <x:f>SUM(J70,L70,N70,P70,R70,T70,V70,X70,Z70,AB70,AD70,AF70,AH70)</x:f>
        <x:v>22</x:v>
      </x:c>
      <x:c r="AK70" s="2" t="n">
        <x:f>IFERROR(AI70/AJ70,0)</x:f>
        <x:v>0.8636363636363636</x:v>
      </x:c>
      <x:c r="AL70" t="n">
        <x:f>IF(E70="Adequado",1,0)</x:f>
        <x:v>1</x:v>
      </x:c>
      <x:c r="AM70" t="n">
        <x:f>IF(C70="1º ano",IF(D70="referencia",Parametros!$B$4,Parametros!$B$5),IF(D70="referencia",Parametros!$B$6,Parametros!$B$7))</x:f>
        <x:v>16</x:v>
      </x:c>
      <x:c r="AN70" t="n">
        <x:f>MAX(0,AM70-AI70)</x:f>
        <x:v>0</x:v>
      </x:c>
    </x:row>
    <x:row r="71">
      <x:c r="A71" t="str">
        <x:v>2A012</x:v>
      </x:c>
      <x:c r="B71" t="str">
        <x:v>ICARO RAVI BEZERRA DOS SANTOS</x:v>
      </x:c>
      <x:c r="C71" t="str">
        <x:v>2º ano</x:v>
      </x:c>
      <x:c r="D71" t="str">
        <x:v>referencia</x:v>
      </x:c>
      <x:c r="E71" t="str">
        <x:v>Adequado</x:v>
      </x:c>
      <x:c r="F71" t="str">
        <x:v>Sim</x:v>
      </x:c>
      <x:c r="G71" t="str">
        <x:v>CAEd_DadosExportados (1).zip</x:v>
      </x:c>
      <x:c r="H71" t="str">
        <x:v>HABILIDADES_DESEMPENHO_ESTUDANTE 30-07-2026 9-18-48.csv</x:v>
      </x:c>
      <x:c r="I71" t="n">
        <x:v>2</x:v>
      </x:c>
      <x:c r="J71" t="n">
        <x:v>2</x:v>
      </x:c>
      <x:c r="K71" t="n">
        <x:v>2</x:v>
      </x:c>
      <x:c r="L71" t="n">
        <x:v>2</x:v>
      </x:c>
      <x:c r="M71" t="n">
        <x:v>2</x:v>
      </x:c>
      <x:c r="N71" t="n">
        <x:v>2</x:v>
      </x:c>
      <x:c r="O71" t="n">
        <x:v>2</x:v>
      </x:c>
      <x:c r="P71" t="n">
        <x:v>2</x:v>
      </x:c>
      <x:c r="Q71" t="n">
        <x:v>1</x:v>
      </x:c>
      <x:c r="R71" t="n">
        <x:v>1</x:v>
      </x:c>
      <x:c r="S71" t="n">
        <x:v>2</x:v>
      </x:c>
      <x:c r="T71" t="n">
        <x:v>2</x:v>
      </x:c>
      <x:c r="U71" t="n">
        <x:v>2</x:v>
      </x:c>
      <x:c r="V71" t="n">
        <x:v>2</x:v>
      </x:c>
      <x:c r="W71" t="n">
        <x:v>1</x:v>
      </x:c>
      <x:c r="X71" t="n">
        <x:v>2</x:v>
      </x:c>
      <x:c r="Y71" t="n">
        <x:v>2</x:v>
      </x:c>
      <x:c r="Z71" t="n">
        <x:v>2</x:v>
      </x:c>
      <x:c r="AA71" t="n">
        <x:v>1</x:v>
      </x:c>
      <x:c r="AB71" t="n">
        <x:v>1</x:v>
      </x:c>
      <x:c r="AC71" t="n">
        <x:v>1</x:v>
      </x:c>
      <x:c r="AD71" t="n">
        <x:v>2</x:v>
      </x:c>
      <x:c r="AE71" t="n">
        <x:v>1</x:v>
      </x:c>
      <x:c r="AF71" t="n">
        <x:v>1</x:v>
      </x:c>
      <x:c r="AG71" t="n">
        <x:v>0</x:v>
      </x:c>
      <x:c r="AH71" t="n">
        <x:v>1</x:v>
      </x:c>
      <x:c r="AI71" t="n">
        <x:f>SUM(I71,K71,M71,O71,Q71,S71,U71,W71,Y71,AA71,AC71,AE71,AG71)</x:f>
        <x:v>19</x:v>
      </x:c>
      <x:c r="AJ71" t="n">
        <x:f>SUM(J71,L71,N71,P71,R71,T71,V71,X71,Z71,AB71,AD71,AF71,AH71)</x:f>
        <x:v>22</x:v>
      </x:c>
      <x:c r="AK71" s="2" t="n">
        <x:f>IFERROR(AI71/AJ71,0)</x:f>
        <x:v>0.8636363636363636</x:v>
      </x:c>
      <x:c r="AL71" t="n">
        <x:f>IF(E71="Adequado",1,0)</x:f>
        <x:v>1</x:v>
      </x:c>
      <x:c r="AM71" t="n">
        <x:f>IF(C71="1º ano",IF(D71="referencia",Parametros!$B$4,Parametros!$B$5),IF(D71="referencia",Parametros!$B$6,Parametros!$B$7))</x:f>
        <x:v>16</x:v>
      </x:c>
      <x:c r="AN71" t="n">
        <x:f>MAX(0,AM71-AI71)</x:f>
        <x:v>0</x:v>
      </x:c>
    </x:row>
    <x:row r="72">
      <x:c r="A72" t="str">
        <x:v>2A012</x:v>
      </x:c>
      <x:c r="B72" t="str">
        <x:v>ICARO RAVI BEZERRA DOS SANTOS</x:v>
      </x:c>
      <x:c r="C72" t="str">
        <x:v>2º ano</x:v>
      </x:c>
      <x:c r="D72" t="str">
        <x:v>contraprova</x:v>
      </x:c>
      <x:c r="E72" t="str">
        <x:v>Adequado</x:v>
      </x:c>
      <x:c r="F72" t="str">
        <x:v>Sim</x:v>
      </x:c>
      <x:c r="G72" t="str">
        <x:v>CAEd_DadosExportados (2).zip</x:v>
      </x:c>
      <x:c r="H72" t="str">
        <x:v>HABILIDADES_DESEMPENHO_ESTUDANTE 30-07-2026 9-19-16.csv</x:v>
      </x:c>
      <x:c r="I72" t="n">
        <x:v>0</x:v>
      </x:c>
      <x:c r="J72" t="n">
        <x:v>2</x:v>
      </x:c>
      <x:c r="K72" t="n">
        <x:v>2</x:v>
      </x:c>
      <x:c r="L72" t="n">
        <x:v>2</x:v>
      </x:c>
      <x:c r="M72" t="n">
        <x:v>2</x:v>
      </x:c>
      <x:c r="N72" t="n">
        <x:v>2</x:v>
      </x:c>
      <x:c r="O72" t="n">
        <x:v>2</x:v>
      </x:c>
      <x:c r="P72" t="n">
        <x:v>2</x:v>
      </x:c>
      <x:c r="Q72" t="n">
        <x:v>1</x:v>
      </x:c>
      <x:c r="R72" t="n">
        <x:v>2</x:v>
      </x:c>
      <x:c r="S72" t="n">
        <x:v>2</x:v>
      </x:c>
      <x:c r="T72" t="n">
        <x:v>2</x:v>
      </x:c>
      <x:c r="U72" t="n">
        <x:v>2</x:v>
      </x:c>
      <x:c r="V72" t="n">
        <x:v>2</x:v>
      </x:c>
      <x:c r="W72" t="n">
        <x:v>2</x:v>
      </x:c>
      <x:c r="X72" t="n">
        <x:v>2</x:v>
      </x:c>
      <x:c r="Y72" t="n">
        <x:v>2</x:v>
      </x:c>
      <x:c r="Z72" t="n">
        <x:v>2</x:v>
      </x:c>
      <x:c r="AA72" t="n">
        <x:v>2</x:v>
      </x:c>
      <x:c r="AB72" t="n">
        <x:v>2</x:v>
      </x:c>
      <x:c r="AC72" t="n">
        <x:v>2</x:v>
      </x:c>
      <x:c r="AD72" t="n">
        <x:v>2</x:v>
      </x:c>
      <x:c r="AE72"/>
      <x:c r="AF72"/>
      <x:c r="AG72"/>
      <x:c r="AH72"/>
      <x:c r="AI72" t="n">
        <x:f>SUM(I72,K72,M72,O72,Q72,S72,U72,W72,Y72,AA72,AC72,AE72,AG72)</x:f>
        <x:v>19</x:v>
      </x:c>
      <x:c r="AJ72" t="n">
        <x:f>SUM(J72,L72,N72,P72,R72,T72,V72,X72,Z72,AB72,AD72,AF72,AH72)</x:f>
        <x:v>22</x:v>
      </x:c>
      <x:c r="AK72" s="2" t="n">
        <x:f>IFERROR(AI72/AJ72,0)</x:f>
        <x:v>0.8636363636363636</x:v>
      </x:c>
      <x:c r="AL72" t="n">
        <x:f>IF(E72="Adequado",1,0)</x:f>
        <x:v>1</x:v>
      </x:c>
      <x:c r="AM72" t="n">
        <x:f>IF(C72="1º ano",IF(D72="referencia",Parametros!$B$4,Parametros!$B$5),IF(D72="referencia",Parametros!$B$6,Parametros!$B$7))</x:f>
        <x:v>16</x:v>
      </x:c>
      <x:c r="AN72" t="n">
        <x:f>MAX(0,AM72-AI72)</x:f>
        <x:v>0</x:v>
      </x:c>
    </x:row>
    <x:row r="73">
      <x:c r="A73" t="str">
        <x:v>2A013</x:v>
      </x:c>
      <x:c r="B73" t="str">
        <x:v>ICARO SOARES LEITE DE SOUSA</x:v>
      </x:c>
      <x:c r="C73" t="str">
        <x:v>2º ano</x:v>
      </x:c>
      <x:c r="D73" t="str">
        <x:v>referencia</x:v>
      </x:c>
      <x:c r="E73" t="str">
        <x:v>Defasagem</x:v>
      </x:c>
      <x:c r="F73" t="str">
        <x:v>Sim</x:v>
      </x:c>
      <x:c r="G73" t="str">
        <x:v>CAEd_DadosExportados (1).zip</x:v>
      </x:c>
      <x:c r="H73" t="str">
        <x:v>HABILIDADES_DESEMPENHO_ESTUDANTE 30-07-2026 9-18-48.csv</x:v>
      </x:c>
      <x:c r="I73" t="n">
        <x:v>0</x:v>
      </x:c>
      <x:c r="J73" t="n">
        <x:v>2</x:v>
      </x:c>
      <x:c r="K73" t="n">
        <x:v>1</x:v>
      </x:c>
      <x:c r="L73" t="n">
        <x:v>2</x:v>
      </x:c>
      <x:c r="M73" t="n">
        <x:v>1</x:v>
      </x:c>
      <x:c r="N73" t="n">
        <x:v>2</x:v>
      </x:c>
      <x:c r="O73" t="n">
        <x:v>1</x:v>
      </x:c>
      <x:c r="P73" t="n">
        <x:v>2</x:v>
      </x:c>
      <x:c r="Q73" t="n">
        <x:v>1</x:v>
      </x:c>
      <x:c r="R73" t="n">
        <x:v>1</x:v>
      </x:c>
      <x:c r="S73" t="n">
        <x:v>1</x:v>
      </x:c>
      <x:c r="T73" t="n">
        <x:v>2</x:v>
      </x:c>
      <x:c r="U73" t="n">
        <x:v>2</x:v>
      </x:c>
      <x:c r="V73" t="n">
        <x:v>2</x:v>
      </x:c>
      <x:c r="W73" t="n">
        <x:v>0</x:v>
      </x:c>
      <x:c r="X73" t="n">
        <x:v>2</x:v>
      </x:c>
      <x:c r="Y73" t="n">
        <x:v>2</x:v>
      </x:c>
      <x:c r="Z73" t="n">
        <x:v>2</x:v>
      </x:c>
      <x:c r="AA73" t="n">
        <x:v>0</x:v>
      </x:c>
      <x:c r="AB73" t="n">
        <x:v>1</x:v>
      </x:c>
      <x:c r="AC73" t="n">
        <x:v>0</x:v>
      </x:c>
      <x:c r="AD73" t="n">
        <x:v>2</x:v>
      </x:c>
      <x:c r="AE73" t="n">
        <x:v>0</x:v>
      </x:c>
      <x:c r="AF73" t="n">
        <x:v>1</x:v>
      </x:c>
      <x:c r="AG73" t="n">
        <x:v>0</x:v>
      </x:c>
      <x:c r="AH73" t="n">
        <x:v>1</x:v>
      </x:c>
      <x:c r="AI73" t="n">
        <x:f>SUM(I73,K73,M73,O73,Q73,S73,U73,W73,Y73,AA73,AC73,AE73,AG73)</x:f>
        <x:v>9</x:v>
      </x:c>
      <x:c r="AJ73" t="n">
        <x:f>SUM(J73,L73,N73,P73,R73,T73,V73,X73,Z73,AB73,AD73,AF73,AH73)</x:f>
        <x:v>22</x:v>
      </x:c>
      <x:c r="AK73" s="2" t="n">
        <x:f>IFERROR(AI73/AJ73,0)</x:f>
        <x:v>0.4090909090909091</x:v>
      </x:c>
      <x:c r="AL73" t="n">
        <x:f>IF(E73="Adequado",1,0)</x:f>
        <x:v>0</x:v>
      </x:c>
      <x:c r="AM73" t="n">
        <x:f>IF(C73="1º ano",IF(D73="referencia",Parametros!$B$4,Parametros!$B$5),IF(D73="referencia",Parametros!$B$6,Parametros!$B$7))</x:f>
        <x:v>16</x:v>
      </x:c>
      <x:c r="AN73" t="n">
        <x:f>MAX(0,AM73-AI73)</x:f>
        <x:v>7</x:v>
      </x:c>
    </x:row>
    <x:row r="74">
      <x:c r="A74" t="str">
        <x:v>2A013</x:v>
      </x:c>
      <x:c r="B74" t="str">
        <x:v>ICARO SOARES LEITE DE SOUSA</x:v>
      </x:c>
      <x:c r="C74" t="str">
        <x:v>2º ano</x:v>
      </x:c>
      <x:c r="D74" t="str">
        <x:v>contraprova</x:v>
      </x:c>
      <x:c r="E74" t="str">
        <x:v>Adequado</x:v>
      </x:c>
      <x:c r="F74" t="str">
        <x:v>Sim</x:v>
      </x:c>
      <x:c r="G74" t="str">
        <x:v>CAEd_DadosExportados (2).zip</x:v>
      </x:c>
      <x:c r="H74" t="str">
        <x:v>HABILIDADES_DESEMPENHO_ESTUDANTE 30-07-2026 9-19-16.csv</x:v>
      </x:c>
      <x:c r="I74" t="n">
        <x:v>1</x:v>
      </x:c>
      <x:c r="J74" t="n">
        <x:v>2</x:v>
      </x:c>
      <x:c r="K74" t="n">
        <x:v>2</x:v>
      </x:c>
      <x:c r="L74" t="n">
        <x:v>2</x:v>
      </x:c>
      <x:c r="M74" t="n">
        <x:v>2</x:v>
      </x:c>
      <x:c r="N74" t="n">
        <x:v>2</x:v>
      </x:c>
      <x:c r="O74" t="n">
        <x:v>2</x:v>
      </x:c>
      <x:c r="P74" t="n">
        <x:v>2</x:v>
      </x:c>
      <x:c r="Q74" t="n">
        <x:v>2</x:v>
      </x:c>
      <x:c r="R74" t="n">
        <x:v>2</x:v>
      </x:c>
      <x:c r="S74" t="n">
        <x:v>2</x:v>
      </x:c>
      <x:c r="T74" t="n">
        <x:v>2</x:v>
      </x:c>
      <x:c r="U74" t="n">
        <x:v>1</x:v>
      </x:c>
      <x:c r="V74" t="n">
        <x:v>2</x:v>
      </x:c>
      <x:c r="W74" t="n">
        <x:v>1</x:v>
      </x:c>
      <x:c r="X74" t="n">
        <x:v>2</x:v>
      </x:c>
      <x:c r="Y74" t="n">
        <x:v>2</x:v>
      </x:c>
      <x:c r="Z74" t="n">
        <x:v>2</x:v>
      </x:c>
      <x:c r="AA74" t="n">
        <x:v>2</x:v>
      </x:c>
      <x:c r="AB74" t="n">
        <x:v>2</x:v>
      </x:c>
      <x:c r="AC74" t="n">
        <x:v>2</x:v>
      </x:c>
      <x:c r="AD74" t="n">
        <x:v>2</x:v>
      </x:c>
      <x:c r="AE74"/>
      <x:c r="AF74"/>
      <x:c r="AG74"/>
      <x:c r="AH74"/>
      <x:c r="AI74" t="n">
        <x:f>SUM(I74,K74,M74,O74,Q74,S74,U74,W74,Y74,AA74,AC74,AE74,AG74)</x:f>
        <x:v>19</x:v>
      </x:c>
      <x:c r="AJ74" t="n">
        <x:f>SUM(J74,L74,N74,P74,R74,T74,V74,X74,Z74,AB74,AD74,AF74,AH74)</x:f>
        <x:v>22</x:v>
      </x:c>
      <x:c r="AK74" s="2" t="n">
        <x:f>IFERROR(AI74/AJ74,0)</x:f>
        <x:v>0.8636363636363636</x:v>
      </x:c>
      <x:c r="AL74" t="n">
        <x:f>IF(E74="Adequado",1,0)</x:f>
        <x:v>1</x:v>
      </x:c>
      <x:c r="AM74" t="n">
        <x:f>IF(C74="1º ano",IF(D74="referencia",Parametros!$B$4,Parametros!$B$5),IF(D74="referencia",Parametros!$B$6,Parametros!$B$7))</x:f>
        <x:v>16</x:v>
      </x:c>
      <x:c r="AN74" t="n">
        <x:f>MAX(0,AM74-AI74)</x:f>
        <x:v>0</x:v>
      </x:c>
    </x:row>
    <x:row r="75">
      <x:c r="A75" t="str">
        <x:v>2A014</x:v>
      </x:c>
      <x:c r="B75" t="str">
        <x:v>ISIS SOARES CASTRO</x:v>
      </x:c>
      <x:c r="C75" t="str">
        <x:v>2º ano</x:v>
      </x:c>
      <x:c r="D75" t="str">
        <x:v>contraprova</x:v>
      </x:c>
      <x:c r="E75" t="str">
        <x:v>Adequado</x:v>
      </x:c>
      <x:c r="F75" t="str">
        <x:v>Sim</x:v>
      </x:c>
      <x:c r="G75" t="str">
        <x:v>CAEd_DadosExportados (2).zip</x:v>
      </x:c>
      <x:c r="H75" t="str">
        <x:v>HABILIDADES_DESEMPENHO_ESTUDANTE 30-07-2026 9-19-16.csv</x:v>
      </x:c>
      <x:c r="I75" t="n">
        <x:v>0</x:v>
      </x:c>
      <x:c r="J75" t="n">
        <x:v>2</x:v>
      </x:c>
      <x:c r="K75" t="n">
        <x:v>2</x:v>
      </x:c>
      <x:c r="L75" t="n">
        <x:v>2</x:v>
      </x:c>
      <x:c r="M75" t="n">
        <x:v>1</x:v>
      </x:c>
      <x:c r="N75" t="n">
        <x:v>2</x:v>
      </x:c>
      <x:c r="O75" t="n">
        <x:v>2</x:v>
      </x:c>
      <x:c r="P75" t="n">
        <x:v>2</x:v>
      </x:c>
      <x:c r="Q75" t="n">
        <x:v>1</x:v>
      </x:c>
      <x:c r="R75" t="n">
        <x:v>2</x:v>
      </x:c>
      <x:c r="S75" t="n">
        <x:v>1</x:v>
      </x:c>
      <x:c r="T75" t="n">
        <x:v>2</x:v>
      </x:c>
      <x:c r="U75" t="n">
        <x:v>2</x:v>
      </x:c>
      <x:c r="V75" t="n">
        <x:v>2</x:v>
      </x:c>
      <x:c r="W75" t="n">
        <x:v>2</x:v>
      </x:c>
      <x:c r="X75" t="n">
        <x:v>2</x:v>
      </x:c>
      <x:c r="Y75" t="n">
        <x:v>2</x:v>
      </x:c>
      <x:c r="Z75" t="n">
        <x:v>2</x:v>
      </x:c>
      <x:c r="AA75" t="n">
        <x:v>2</x:v>
      </x:c>
      <x:c r="AB75" t="n">
        <x:v>2</x:v>
      </x:c>
      <x:c r="AC75" t="n">
        <x:v>2</x:v>
      </x:c>
      <x:c r="AD75" t="n">
        <x:v>2</x:v>
      </x:c>
      <x:c r="AE75"/>
      <x:c r="AF75"/>
      <x:c r="AG75"/>
      <x:c r="AH75"/>
      <x:c r="AI75" t="n">
        <x:f>SUM(I75,K75,M75,O75,Q75,S75,U75,W75,Y75,AA75,AC75,AE75,AG75)</x:f>
        <x:v>17</x:v>
      </x:c>
      <x:c r="AJ75" t="n">
        <x:f>SUM(J75,L75,N75,P75,R75,T75,V75,X75,Z75,AB75,AD75,AF75,AH75)</x:f>
        <x:v>22</x:v>
      </x:c>
      <x:c r="AK75" s="2" t="n">
        <x:f>IFERROR(AI75/AJ75,0)</x:f>
        <x:v>0.7727272727272727</x:v>
      </x:c>
      <x:c r="AL75" t="n">
        <x:f>IF(E75="Adequado",1,0)</x:f>
        <x:v>1</x:v>
      </x:c>
      <x:c r="AM75" t="n">
        <x:f>IF(C75="1º ano",IF(D75="referencia",Parametros!$B$4,Parametros!$B$5),IF(D75="referencia",Parametros!$B$6,Parametros!$B$7))</x:f>
        <x:v>16</x:v>
      </x:c>
      <x:c r="AN75" t="n">
        <x:f>MAX(0,AM75-AI75)</x:f>
        <x:v>0</x:v>
      </x:c>
    </x:row>
    <x:row r="76">
      <x:c r="A76" t="str">
        <x:v>2A015</x:v>
      </x:c>
      <x:c r="B76" t="str">
        <x:v>JOAO GABRIEL RODRIGUES OLIVEIRO</x:v>
      </x:c>
      <x:c r="C76" t="str">
        <x:v>2º ano</x:v>
      </x:c>
      <x:c r="D76" t="str">
        <x:v>referencia</x:v>
      </x:c>
      <x:c r="E76" t="str">
        <x:v>Adequado</x:v>
      </x:c>
      <x:c r="F76" t="str">
        <x:v>Sim</x:v>
      </x:c>
      <x:c r="G76" t="str">
        <x:v>CAEd_DadosExportados (1).zip</x:v>
      </x:c>
      <x:c r="H76" t="str">
        <x:v>HABILIDADES_DESEMPENHO_ESTUDANTE 30-07-2026 9-18-48.csv</x:v>
      </x:c>
      <x:c r="I76" t="n">
        <x:v>2</x:v>
      </x:c>
      <x:c r="J76" t="n">
        <x:v>2</x:v>
      </x:c>
      <x:c r="K76" t="n">
        <x:v>2</x:v>
      </x:c>
      <x:c r="L76" t="n">
        <x:v>2</x:v>
      </x:c>
      <x:c r="M76" t="n">
        <x:v>2</x:v>
      </x:c>
      <x:c r="N76" t="n">
        <x:v>2</x:v>
      </x:c>
      <x:c r="O76" t="n">
        <x:v>2</x:v>
      </x:c>
      <x:c r="P76" t="n">
        <x:v>2</x:v>
      </x:c>
      <x:c r="Q76" t="n">
        <x:v>1</x:v>
      </x:c>
      <x:c r="R76" t="n">
        <x:v>1</x:v>
      </x:c>
      <x:c r="S76" t="n">
        <x:v>2</x:v>
      </x:c>
      <x:c r="T76" t="n">
        <x:v>2</x:v>
      </x:c>
      <x:c r="U76" t="n">
        <x:v>2</x:v>
      </x:c>
      <x:c r="V76" t="n">
        <x:v>2</x:v>
      </x:c>
      <x:c r="W76" t="n">
        <x:v>2</x:v>
      </x:c>
      <x:c r="X76" t="n">
        <x:v>2</x:v>
      </x:c>
      <x:c r="Y76" t="n">
        <x:v>2</x:v>
      </x:c>
      <x:c r="Z76" t="n">
        <x:v>2</x:v>
      </x:c>
      <x:c r="AA76" t="n">
        <x:v>1</x:v>
      </x:c>
      <x:c r="AB76" t="n">
        <x:v>1</x:v>
      </x:c>
      <x:c r="AC76" t="n">
        <x:v>2</x:v>
      </x:c>
      <x:c r="AD76" t="n">
        <x:v>2</x:v>
      </x:c>
      <x:c r="AE76" t="n">
        <x:v>1</x:v>
      </x:c>
      <x:c r="AF76" t="n">
        <x:v>1</x:v>
      </x:c>
      <x:c r="AG76" t="n">
        <x:v>1</x:v>
      </x:c>
      <x:c r="AH76" t="n">
        <x:v>1</x:v>
      </x:c>
      <x:c r="AI76" t="n">
        <x:f>SUM(I76,K76,M76,O76,Q76,S76,U76,W76,Y76,AA76,AC76,AE76,AG76)</x:f>
        <x:v>22</x:v>
      </x:c>
      <x:c r="AJ76" t="n">
        <x:f>SUM(J76,L76,N76,P76,R76,T76,V76,X76,Z76,AB76,AD76,AF76,AH76)</x:f>
        <x:v>22</x:v>
      </x:c>
      <x:c r="AK76" s="2" t="n">
        <x:f>IFERROR(AI76/AJ76,0)</x:f>
        <x:v>1</x:v>
      </x:c>
      <x:c r="AL76" t="n">
        <x:f>IF(E76="Adequado",1,0)</x:f>
        <x:v>1</x:v>
      </x:c>
      <x:c r="AM76" t="n">
        <x:f>IF(C76="1º ano",IF(D76="referencia",Parametros!$B$4,Parametros!$B$5),IF(D76="referencia",Parametros!$B$6,Parametros!$B$7))</x:f>
        <x:v>16</x:v>
      </x:c>
      <x:c r="AN76" t="n">
        <x:f>MAX(0,AM76-AI76)</x:f>
        <x:v>0</x:v>
      </x:c>
    </x:row>
    <x:row r="77">
      <x:c r="A77" t="str">
        <x:v>2A015</x:v>
      </x:c>
      <x:c r="B77" t="str">
        <x:v>JOAO GABRIEL RODRIGUES OLIVEIRO</x:v>
      </x:c>
      <x:c r="C77" t="str">
        <x:v>2º ano</x:v>
      </x:c>
      <x:c r="D77" t="str">
        <x:v>contraprova</x:v>
      </x:c>
      <x:c r="E77" t="str">
        <x:v>Adequado</x:v>
      </x:c>
      <x:c r="F77" t="str">
        <x:v>Sim</x:v>
      </x:c>
      <x:c r="G77" t="str">
        <x:v>CAEd_DadosExportados (2).zip</x:v>
      </x:c>
      <x:c r="H77" t="str">
        <x:v>HABILIDADES_DESEMPENHO_ESTUDANTE 30-07-2026 9-19-16.csv</x:v>
      </x:c>
      <x:c r="I77" t="n">
        <x:v>2</x:v>
      </x:c>
      <x:c r="J77" t="n">
        <x:v>2</x:v>
      </x:c>
      <x:c r="K77" t="n">
        <x:v>2</x:v>
      </x:c>
      <x:c r="L77" t="n">
        <x:v>2</x:v>
      </x:c>
      <x:c r="M77" t="n">
        <x:v>1</x:v>
      </x:c>
      <x:c r="N77" t="n">
        <x:v>2</x:v>
      </x:c>
      <x:c r="O77" t="n">
        <x:v>2</x:v>
      </x:c>
      <x:c r="P77" t="n">
        <x:v>2</x:v>
      </x:c>
      <x:c r="Q77" t="n">
        <x:v>2</x:v>
      </x:c>
      <x:c r="R77" t="n">
        <x:v>2</x:v>
      </x:c>
      <x:c r="S77" t="n">
        <x:v>2</x:v>
      </x:c>
      <x:c r="T77" t="n">
        <x:v>2</x:v>
      </x:c>
      <x:c r="U77" t="n">
        <x:v>1</x:v>
      </x:c>
      <x:c r="V77" t="n">
        <x:v>2</x:v>
      </x:c>
      <x:c r="W77" t="n">
        <x:v>1</x:v>
      </x:c>
      <x:c r="X77" t="n">
        <x:v>2</x:v>
      </x:c>
      <x:c r="Y77" t="n">
        <x:v>2</x:v>
      </x:c>
      <x:c r="Z77" t="n">
        <x:v>2</x:v>
      </x:c>
      <x:c r="AA77" t="n">
        <x:v>2</x:v>
      </x:c>
      <x:c r="AB77" t="n">
        <x:v>2</x:v>
      </x:c>
      <x:c r="AC77" t="n">
        <x:v>1</x:v>
      </x:c>
      <x:c r="AD77" t="n">
        <x:v>2</x:v>
      </x:c>
      <x:c r="AE77"/>
      <x:c r="AF77"/>
      <x:c r="AG77"/>
      <x:c r="AH77"/>
      <x:c r="AI77" t="n">
        <x:f>SUM(I77,K77,M77,O77,Q77,S77,U77,W77,Y77,AA77,AC77,AE77,AG77)</x:f>
        <x:v>18</x:v>
      </x:c>
      <x:c r="AJ77" t="n">
        <x:f>SUM(J77,L77,N77,P77,R77,T77,V77,X77,Z77,AB77,AD77,AF77,AH77)</x:f>
        <x:v>22</x:v>
      </x:c>
      <x:c r="AK77" s="2" t="n">
        <x:f>IFERROR(AI77/AJ77,0)</x:f>
        <x:v>0.8181818181818182</x:v>
      </x:c>
      <x:c r="AL77" t="n">
        <x:f>IF(E77="Adequado",1,0)</x:f>
        <x:v>1</x:v>
      </x:c>
      <x:c r="AM77" t="n">
        <x:f>IF(C77="1º ano",IF(D77="referencia",Parametros!$B$4,Parametros!$B$5),IF(D77="referencia",Parametros!$B$6,Parametros!$B$7))</x:f>
        <x:v>16</x:v>
      </x:c>
      <x:c r="AN77" t="n">
        <x:f>MAX(0,AM77-AI77)</x:f>
        <x:v>0</x:v>
      </x:c>
    </x:row>
    <x:row r="78">
      <x:c r="A78" t="str">
        <x:v>2A016</x:v>
      </x:c>
      <x:c r="B78" t="str">
        <x:v>JOAO MATHEUS RODRIGUES MOREIRA</x:v>
      </x:c>
      <x:c r="C78" t="str">
        <x:v>2º ano</x:v>
      </x:c>
      <x:c r="D78" t="str">
        <x:v>referencia</x:v>
      </x:c>
      <x:c r="E78" t="str">
        <x:v>Adequado</x:v>
      </x:c>
      <x:c r="F78" t="str">
        <x:v>Sim</x:v>
      </x:c>
      <x:c r="G78" t="str">
        <x:v>CAEd_DadosExportados (1).zip</x:v>
      </x:c>
      <x:c r="H78" t="str">
        <x:v>HABILIDADES_DESEMPENHO_ESTUDANTE 30-07-2026 9-18-48.csv</x:v>
      </x:c>
      <x:c r="I78" t="n">
        <x:v>2</x:v>
      </x:c>
      <x:c r="J78" t="n">
        <x:v>2</x:v>
      </x:c>
      <x:c r="K78" t="n">
        <x:v>2</x:v>
      </x:c>
      <x:c r="L78" t="n">
        <x:v>2</x:v>
      </x:c>
      <x:c r="M78" t="n">
        <x:v>2</x:v>
      </x:c>
      <x:c r="N78" t="n">
        <x:v>2</x:v>
      </x:c>
      <x:c r="O78" t="n">
        <x:v>2</x:v>
      </x:c>
      <x:c r="P78" t="n">
        <x:v>2</x:v>
      </x:c>
      <x:c r="Q78" t="n">
        <x:v>1</x:v>
      </x:c>
      <x:c r="R78" t="n">
        <x:v>1</x:v>
      </x:c>
      <x:c r="S78" t="n">
        <x:v>2</x:v>
      </x:c>
      <x:c r="T78" t="n">
        <x:v>2</x:v>
      </x:c>
      <x:c r="U78" t="n">
        <x:v>2</x:v>
      </x:c>
      <x:c r="V78" t="n">
        <x:v>2</x:v>
      </x:c>
      <x:c r="W78" t="n">
        <x:v>2</x:v>
      </x:c>
      <x:c r="X78" t="n">
        <x:v>2</x:v>
      </x:c>
      <x:c r="Y78" t="n">
        <x:v>2</x:v>
      </x:c>
      <x:c r="Z78" t="n">
        <x:v>2</x:v>
      </x:c>
      <x:c r="AA78" t="n">
        <x:v>0</x:v>
      </x:c>
      <x:c r="AB78" t="n">
        <x:v>1</x:v>
      </x:c>
      <x:c r="AC78" t="n">
        <x:v>1</x:v>
      </x:c>
      <x:c r="AD78" t="n">
        <x:v>2</x:v>
      </x:c>
      <x:c r="AE78" t="n">
        <x:v>1</x:v>
      </x:c>
      <x:c r="AF78" t="n">
        <x:v>1</x:v>
      </x:c>
      <x:c r="AG78" t="n">
        <x:v>0</x:v>
      </x:c>
      <x:c r="AH78" t="n">
        <x:v>1</x:v>
      </x:c>
      <x:c r="AI78" t="n">
        <x:f>SUM(I78,K78,M78,O78,Q78,S78,U78,W78,Y78,AA78,AC78,AE78,AG78)</x:f>
        <x:v>19</x:v>
      </x:c>
      <x:c r="AJ78" t="n">
        <x:f>SUM(J78,L78,N78,P78,R78,T78,V78,X78,Z78,AB78,AD78,AF78,AH78)</x:f>
        <x:v>22</x:v>
      </x:c>
      <x:c r="AK78" s="2" t="n">
        <x:f>IFERROR(AI78/AJ78,0)</x:f>
        <x:v>0.8636363636363636</x:v>
      </x:c>
      <x:c r="AL78" t="n">
        <x:f>IF(E78="Adequado",1,0)</x:f>
        <x:v>1</x:v>
      </x:c>
      <x:c r="AM78" t="n">
        <x:f>IF(C78="1º ano",IF(D78="referencia",Parametros!$B$4,Parametros!$B$5),IF(D78="referencia",Parametros!$B$6,Parametros!$B$7))</x:f>
        <x:v>16</x:v>
      </x:c>
      <x:c r="AN78" t="n">
        <x:f>MAX(0,AM78-AI78)</x:f>
        <x:v>0</x:v>
      </x:c>
    </x:row>
    <x:row r="79">
      <x:c r="A79" t="str">
        <x:v>2A016</x:v>
      </x:c>
      <x:c r="B79" t="str">
        <x:v>JOAO MATHEUS RODRIGUES MOREIRA</x:v>
      </x:c>
      <x:c r="C79" t="str">
        <x:v>2º ano</x:v>
      </x:c>
      <x:c r="D79" t="str">
        <x:v>contraprova</x:v>
      </x:c>
      <x:c r="E79" t="str">
        <x:v>Defasagem</x:v>
      </x:c>
      <x:c r="F79" t="str">
        <x:v>Sim</x:v>
      </x:c>
      <x:c r="G79" t="str">
        <x:v>CAEd_DadosExportados (2).zip</x:v>
      </x:c>
      <x:c r="H79" t="str">
        <x:v>HABILIDADES_DESEMPENHO_ESTUDANTE 30-07-2026 9-19-16.csv</x:v>
      </x:c>
      <x:c r="I79" t="n">
        <x:v>0</x:v>
      </x:c>
      <x:c r="J79" t="n">
        <x:v>2</x:v>
      </x:c>
      <x:c r="K79" t="n">
        <x:v>1</x:v>
      </x:c>
      <x:c r="L79" t="n">
        <x:v>2</x:v>
      </x:c>
      <x:c r="M79" t="n">
        <x:v>2</x:v>
      </x:c>
      <x:c r="N79" t="n">
        <x:v>2</x:v>
      </x:c>
      <x:c r="O79" t="n">
        <x:v>2</x:v>
      </x:c>
      <x:c r="P79" t="n">
        <x:v>2</x:v>
      </x:c>
      <x:c r="Q79" t="n">
        <x:v>1</x:v>
      </x:c>
      <x:c r="R79" t="n">
        <x:v>2</x:v>
      </x:c>
      <x:c r="S79" t="n">
        <x:v>0</x:v>
      </x:c>
      <x:c r="T79" t="n">
        <x:v>2</x:v>
      </x:c>
      <x:c r="U79" t="n">
        <x:v>0</x:v>
      </x:c>
      <x:c r="V79" t="n">
        <x:v>2</x:v>
      </x:c>
      <x:c r="W79" t="n">
        <x:v>1</x:v>
      </x:c>
      <x:c r="X79" t="n">
        <x:v>2</x:v>
      </x:c>
      <x:c r="Y79" t="n">
        <x:v>2</x:v>
      </x:c>
      <x:c r="Z79" t="n">
        <x:v>2</x:v>
      </x:c>
      <x:c r="AA79" t="n">
        <x:v>0</x:v>
      </x:c>
      <x:c r="AB79" t="n">
        <x:v>2</x:v>
      </x:c>
      <x:c r="AC79" t="n">
        <x:v>1</x:v>
      </x:c>
      <x:c r="AD79" t="n">
        <x:v>2</x:v>
      </x:c>
      <x:c r="AE79"/>
      <x:c r="AF79"/>
      <x:c r="AG79"/>
      <x:c r="AH79"/>
      <x:c r="AI79" t="n">
        <x:f>SUM(I79,K79,M79,O79,Q79,S79,U79,W79,Y79,AA79,AC79,AE79,AG79)</x:f>
        <x:v>10</x:v>
      </x:c>
      <x:c r="AJ79" t="n">
        <x:f>SUM(J79,L79,N79,P79,R79,T79,V79,X79,Z79,AB79,AD79,AF79,AH79)</x:f>
        <x:v>22</x:v>
      </x:c>
      <x:c r="AK79" s="2" t="n">
        <x:f>IFERROR(AI79/AJ79,0)</x:f>
        <x:v>0.45454545454545453</x:v>
      </x:c>
      <x:c r="AL79" t="n">
        <x:f>IF(E79="Adequado",1,0)</x:f>
        <x:v>0</x:v>
      </x:c>
      <x:c r="AM79" t="n">
        <x:f>IF(C79="1º ano",IF(D79="referencia",Parametros!$B$4,Parametros!$B$5),IF(D79="referencia",Parametros!$B$6,Parametros!$B$7))</x:f>
        <x:v>16</x:v>
      </x:c>
      <x:c r="AN79" t="n">
        <x:f>MAX(0,AM79-AI79)</x:f>
        <x:v>6</x:v>
      </x:c>
    </x:row>
    <x:row r="80">
      <x:c r="A80" t="str">
        <x:v>2A017</x:v>
      </x:c>
      <x:c r="B80" t="str">
        <x:v>JOSE BRENO DA SILVA GOMES</x:v>
      </x:c>
      <x:c r="C80" t="str">
        <x:v>2º ano</x:v>
      </x:c>
      <x:c r="D80" t="str">
        <x:v>referencia</x:v>
      </x:c>
      <x:c r="E80" t="str">
        <x:v>Intermediário</x:v>
      </x:c>
      <x:c r="F80" t="str">
        <x:v>Sim</x:v>
      </x:c>
      <x:c r="G80" t="str">
        <x:v>CAEd_DadosExportados (1).zip</x:v>
      </x:c>
      <x:c r="H80" t="str">
        <x:v>HABILIDADES_DESEMPENHO_ESTUDANTE 30-07-2026 9-18-48.csv</x:v>
      </x:c>
      <x:c r="I80" t="n">
        <x:v>1</x:v>
      </x:c>
      <x:c r="J80" t="n">
        <x:v>2</x:v>
      </x:c>
      <x:c r="K80" t="n">
        <x:v>1</x:v>
      </x:c>
      <x:c r="L80" t="n">
        <x:v>2</x:v>
      </x:c>
      <x:c r="M80" t="n">
        <x:v>1</x:v>
      </x:c>
      <x:c r="N80" t="n">
        <x:v>2</x:v>
      </x:c>
      <x:c r="O80" t="n">
        <x:v>2</x:v>
      </x:c>
      <x:c r="P80" t="n">
        <x:v>2</x:v>
      </x:c>
      <x:c r="Q80" t="n">
        <x:v>1</x:v>
      </x:c>
      <x:c r="R80" t="n">
        <x:v>1</x:v>
      </x:c>
      <x:c r="S80" t="n">
        <x:v>1</x:v>
      </x:c>
      <x:c r="T80" t="n">
        <x:v>2</x:v>
      </x:c>
      <x:c r="U80" t="n">
        <x:v>2</x:v>
      </x:c>
      <x:c r="V80" t="n">
        <x:v>2</x:v>
      </x:c>
      <x:c r="W80" t="n">
        <x:v>1</x:v>
      </x:c>
      <x:c r="X80" t="n">
        <x:v>2</x:v>
      </x:c>
      <x:c r="Y80" t="n">
        <x:v>2</x:v>
      </x:c>
      <x:c r="Z80" t="n">
        <x:v>2</x:v>
      </x:c>
      <x:c r="AA80" t="n">
        <x:v>0</x:v>
      </x:c>
      <x:c r="AB80" t="n">
        <x:v>1</x:v>
      </x:c>
      <x:c r="AC80" t="n">
        <x:v>1</x:v>
      </x:c>
      <x:c r="AD80" t="n">
        <x:v>2</x:v>
      </x:c>
      <x:c r="AE80" t="n">
        <x:v>0</x:v>
      </x:c>
      <x:c r="AF80" t="n">
        <x:v>1</x:v>
      </x:c>
      <x:c r="AG80" t="n">
        <x:v>0</x:v>
      </x:c>
      <x:c r="AH80" t="n">
        <x:v>1</x:v>
      </x:c>
      <x:c r="AI80" t="n">
        <x:f>SUM(I80,K80,M80,O80,Q80,S80,U80,W80,Y80,AA80,AC80,AE80,AG80)</x:f>
        <x:v>13</x:v>
      </x:c>
      <x:c r="AJ80" t="n">
        <x:f>SUM(J80,L80,N80,P80,R80,T80,V80,X80,Z80,AB80,AD80,AF80,AH80)</x:f>
        <x:v>22</x:v>
      </x:c>
      <x:c r="AK80" s="2" t="n">
        <x:f>IFERROR(AI80/AJ80,0)</x:f>
        <x:v>0.5909090909090909</x:v>
      </x:c>
      <x:c r="AL80" t="n">
        <x:f>IF(E80="Adequado",1,0)</x:f>
        <x:v>0</x:v>
      </x:c>
      <x:c r="AM80" t="n">
        <x:f>IF(C80="1º ano",IF(D80="referencia",Parametros!$B$4,Parametros!$B$5),IF(D80="referencia",Parametros!$B$6,Parametros!$B$7))</x:f>
        <x:v>16</x:v>
      </x:c>
      <x:c r="AN80" t="n">
        <x:f>MAX(0,AM80-AI80)</x:f>
        <x:v>3</x:v>
      </x:c>
    </x:row>
    <x:row r="81">
      <x:c r="A81" t="str">
        <x:v>2A017</x:v>
      </x:c>
      <x:c r="B81" t="str">
        <x:v>JOSE BRENO DA SILVA GOMES</x:v>
      </x:c>
      <x:c r="C81" t="str">
        <x:v>2º ano</x:v>
      </x:c>
      <x:c r="D81" t="str">
        <x:v>contraprova</x:v>
      </x:c>
      <x:c r="E81" t="str">
        <x:v>Defasagem</x:v>
      </x:c>
      <x:c r="F81" t="str">
        <x:v>Sim</x:v>
      </x:c>
      <x:c r="G81" t="str">
        <x:v>CAEd_DadosExportados (2).zip</x:v>
      </x:c>
      <x:c r="H81" t="str">
        <x:v>HABILIDADES_DESEMPENHO_ESTUDANTE 30-07-2026 9-19-16.csv</x:v>
      </x:c>
      <x:c r="I81" t="n">
        <x:v>0</x:v>
      </x:c>
      <x:c r="J81" t="n">
        <x:v>2</x:v>
      </x:c>
      <x:c r="K81" t="n">
        <x:v>2</x:v>
      </x:c>
      <x:c r="L81" t="n">
        <x:v>2</x:v>
      </x:c>
      <x:c r="M81" t="n">
        <x:v>1</x:v>
      </x:c>
      <x:c r="N81" t="n">
        <x:v>2</x:v>
      </x:c>
      <x:c r="O81" t="n">
        <x:v>2</x:v>
      </x:c>
      <x:c r="P81" t="n">
        <x:v>2</x:v>
      </x:c>
      <x:c r="Q81" t="n">
        <x:v>1</x:v>
      </x:c>
      <x:c r="R81" t="n">
        <x:v>2</x:v>
      </x:c>
      <x:c r="S81" t="n">
        <x:v>1</x:v>
      </x:c>
      <x:c r="T81" t="n">
        <x:v>2</x:v>
      </x:c>
      <x:c r="U81" t="n">
        <x:v>0</x:v>
      </x:c>
      <x:c r="V81" t="n">
        <x:v>2</x:v>
      </x:c>
      <x:c r="W81" t="n">
        <x:v>1</x:v>
      </x:c>
      <x:c r="X81" t="n">
        <x:v>2</x:v>
      </x:c>
      <x:c r="Y81" t="n">
        <x:v>1</x:v>
      </x:c>
      <x:c r="Z81" t="n">
        <x:v>2</x:v>
      </x:c>
      <x:c r="AA81" t="n">
        <x:v>1</x:v>
      </x:c>
      <x:c r="AB81" t="n">
        <x:v>2</x:v>
      </x:c>
      <x:c r="AC81" t="n">
        <x:v>1</x:v>
      </x:c>
      <x:c r="AD81" t="n">
        <x:v>2</x:v>
      </x:c>
      <x:c r="AE81"/>
      <x:c r="AF81"/>
      <x:c r="AG81"/>
      <x:c r="AH81"/>
      <x:c r="AI81" t="n">
        <x:f>SUM(I81,K81,M81,O81,Q81,S81,U81,W81,Y81,AA81,AC81,AE81,AG81)</x:f>
        <x:v>11</x:v>
      </x:c>
      <x:c r="AJ81" t="n">
        <x:f>SUM(J81,L81,N81,P81,R81,T81,V81,X81,Z81,AB81,AD81,AF81,AH81)</x:f>
        <x:v>22</x:v>
      </x:c>
      <x:c r="AK81" s="2" t="n">
        <x:f>IFERROR(AI81/AJ81,0)</x:f>
        <x:v>0.5</x:v>
      </x:c>
      <x:c r="AL81" t="n">
        <x:f>IF(E81="Adequado",1,0)</x:f>
        <x:v>0</x:v>
      </x:c>
      <x:c r="AM81" t="n">
        <x:f>IF(C81="1º ano",IF(D81="referencia",Parametros!$B$4,Parametros!$B$5),IF(D81="referencia",Parametros!$B$6,Parametros!$B$7))</x:f>
        <x:v>16</x:v>
      </x:c>
      <x:c r="AN81" t="n">
        <x:f>MAX(0,AM81-AI81)</x:f>
        <x:v>5</x:v>
      </x:c>
    </x:row>
    <x:row r="82">
      <x:c r="A82" t="str">
        <x:v>2A018</x:v>
      </x:c>
      <x:c r="B82" t="str">
        <x:v>JOSE MIGUEL RODRIGUES DE SOUZA</x:v>
      </x:c>
      <x:c r="C82" t="str">
        <x:v>2º ano</x:v>
      </x:c>
      <x:c r="D82" t="str">
        <x:v>referencia</x:v>
      </x:c>
      <x:c r="E82" t="str">
        <x:v>Intermediário</x:v>
      </x:c>
      <x:c r="F82" t="str">
        <x:v>Sim</x:v>
      </x:c>
      <x:c r="G82" t="str">
        <x:v>CAEd_DadosExportados (1).zip</x:v>
      </x:c>
      <x:c r="H82" t="str">
        <x:v>HABILIDADES_DESEMPENHO_ESTUDANTE 30-07-2026 9-18-48.csv</x:v>
      </x:c>
      <x:c r="I82" t="n">
        <x:v>1</x:v>
      </x:c>
      <x:c r="J82" t="n">
        <x:v>2</x:v>
      </x:c>
      <x:c r="K82" t="n">
        <x:v>1</x:v>
      </x:c>
      <x:c r="L82" t="n">
        <x:v>2</x:v>
      </x:c>
      <x:c r="M82" t="n">
        <x:v>2</x:v>
      </x:c>
      <x:c r="N82" t="n">
        <x:v>2</x:v>
      </x:c>
      <x:c r="O82" t="n">
        <x:v>1</x:v>
      </x:c>
      <x:c r="P82" t="n">
        <x:v>2</x:v>
      </x:c>
      <x:c r="Q82" t="n">
        <x:v>1</x:v>
      </x:c>
      <x:c r="R82" t="n">
        <x:v>1</x:v>
      </x:c>
      <x:c r="S82" t="n">
        <x:v>1</x:v>
      </x:c>
      <x:c r="T82" t="n">
        <x:v>2</x:v>
      </x:c>
      <x:c r="U82" t="n">
        <x:v>1</x:v>
      </x:c>
      <x:c r="V82" t="n">
        <x:v>2</x:v>
      </x:c>
      <x:c r="W82" t="n">
        <x:v>1</x:v>
      </x:c>
      <x:c r="X82" t="n">
        <x:v>2</x:v>
      </x:c>
      <x:c r="Y82" t="n">
        <x:v>2</x:v>
      </x:c>
      <x:c r="Z82" t="n">
        <x:v>2</x:v>
      </x:c>
      <x:c r="AA82" t="n">
        <x:v>0</x:v>
      </x:c>
      <x:c r="AB82" t="n">
        <x:v>1</x:v>
      </x:c>
      <x:c r="AC82" t="n">
        <x:v>2</x:v>
      </x:c>
      <x:c r="AD82" t="n">
        <x:v>2</x:v>
      </x:c>
      <x:c r="AE82" t="n">
        <x:v>1</x:v>
      </x:c>
      <x:c r="AF82" t="n">
        <x:v>1</x:v>
      </x:c>
      <x:c r="AG82" t="n">
        <x:v>0</x:v>
      </x:c>
      <x:c r="AH82" t="n">
        <x:v>1</x:v>
      </x:c>
      <x:c r="AI82" t="n">
        <x:f>SUM(I82,K82,M82,O82,Q82,S82,U82,W82,Y82,AA82,AC82,AE82,AG82)</x:f>
        <x:v>14</x:v>
      </x:c>
      <x:c r="AJ82" t="n">
        <x:f>SUM(J82,L82,N82,P82,R82,T82,V82,X82,Z82,AB82,AD82,AF82,AH82)</x:f>
        <x:v>22</x:v>
      </x:c>
      <x:c r="AK82" s="2" t="n">
        <x:f>IFERROR(AI82/AJ82,0)</x:f>
        <x:v>0.6363636363636364</x:v>
      </x:c>
      <x:c r="AL82" t="n">
        <x:f>IF(E82="Adequado",1,0)</x:f>
        <x:v>0</x:v>
      </x:c>
      <x:c r="AM82" t="n">
        <x:f>IF(C82="1º ano",IF(D82="referencia",Parametros!$B$4,Parametros!$B$5),IF(D82="referencia",Parametros!$B$6,Parametros!$B$7))</x:f>
        <x:v>16</x:v>
      </x:c>
      <x:c r="AN82" t="n">
        <x:f>MAX(0,AM82-AI82)</x:f>
        <x:v>2</x:v>
      </x:c>
    </x:row>
    <x:row r="83">
      <x:c r="A83" t="str">
        <x:v>2A018</x:v>
      </x:c>
      <x:c r="B83" t="str">
        <x:v>JOSE MIGUEL RODRIGUES DE SOUZA</x:v>
      </x:c>
      <x:c r="C83" t="str">
        <x:v>2º ano</x:v>
      </x:c>
      <x:c r="D83" t="str">
        <x:v>contraprova</x:v>
      </x:c>
      <x:c r="E83" t="str">
        <x:v>Adequado</x:v>
      </x:c>
      <x:c r="F83" t="str">
        <x:v>Sim</x:v>
      </x:c>
      <x:c r="G83" t="str">
        <x:v>CAEd_DadosExportados (2).zip</x:v>
      </x:c>
      <x:c r="H83" t="str">
        <x:v>HABILIDADES_DESEMPENHO_ESTUDANTE 30-07-2026 9-19-16.csv</x:v>
      </x:c>
      <x:c r="I83" t="n">
        <x:v>1</x:v>
      </x:c>
      <x:c r="J83" t="n">
        <x:v>2</x:v>
      </x:c>
      <x:c r="K83" t="n">
        <x:v>2</x:v>
      </x:c>
      <x:c r="L83" t="n">
        <x:v>2</x:v>
      </x:c>
      <x:c r="M83" t="n">
        <x:v>2</x:v>
      </x:c>
      <x:c r="N83" t="n">
        <x:v>2</x:v>
      </x:c>
      <x:c r="O83" t="n">
        <x:v>1</x:v>
      </x:c>
      <x:c r="P83" t="n">
        <x:v>2</x:v>
      </x:c>
      <x:c r="Q83" t="n">
        <x:v>1</x:v>
      </x:c>
      <x:c r="R83" t="n">
        <x:v>2</x:v>
      </x:c>
      <x:c r="S83" t="n">
        <x:v>2</x:v>
      </x:c>
      <x:c r="T83" t="n">
        <x:v>2</x:v>
      </x:c>
      <x:c r="U83" t="n">
        <x:v>1</x:v>
      </x:c>
      <x:c r="V83" t="n">
        <x:v>2</x:v>
      </x:c>
      <x:c r="W83" t="n">
        <x:v>0</x:v>
      </x:c>
      <x:c r="X83" t="n">
        <x:v>2</x:v>
      </x:c>
      <x:c r="Y83" t="n">
        <x:v>2</x:v>
      </x:c>
      <x:c r="Z83" t="n">
        <x:v>2</x:v>
      </x:c>
      <x:c r="AA83" t="n">
        <x:v>2</x:v>
      </x:c>
      <x:c r="AB83" t="n">
        <x:v>2</x:v>
      </x:c>
      <x:c r="AC83" t="n">
        <x:v>2</x:v>
      </x:c>
      <x:c r="AD83" t="n">
        <x:v>2</x:v>
      </x:c>
      <x:c r="AE83"/>
      <x:c r="AF83"/>
      <x:c r="AG83"/>
      <x:c r="AH83"/>
      <x:c r="AI83" t="n">
        <x:f>SUM(I83,K83,M83,O83,Q83,S83,U83,W83,Y83,AA83,AC83,AE83,AG83)</x:f>
        <x:v>16</x:v>
      </x:c>
      <x:c r="AJ83" t="n">
        <x:f>SUM(J83,L83,N83,P83,R83,T83,V83,X83,Z83,AB83,AD83,AF83,AH83)</x:f>
        <x:v>22</x:v>
      </x:c>
      <x:c r="AK83" s="2" t="n">
        <x:f>IFERROR(AI83/AJ83,0)</x:f>
        <x:v>0.7272727272727273</x:v>
      </x:c>
      <x:c r="AL83" t="n">
        <x:f>IF(E83="Adequado",1,0)</x:f>
        <x:v>1</x:v>
      </x:c>
      <x:c r="AM83" t="n">
        <x:f>IF(C83="1º ano",IF(D83="referencia",Parametros!$B$4,Parametros!$B$5),IF(D83="referencia",Parametros!$B$6,Parametros!$B$7))</x:f>
        <x:v>16</x:v>
      </x:c>
      <x:c r="AN83" t="n">
        <x:f>MAX(0,AM83-AI83)</x:f>
        <x:v>0</x:v>
      </x:c>
    </x:row>
    <x:row r="84">
      <x:c r="A84" t="str">
        <x:v>2A019</x:v>
      </x:c>
      <x:c r="B84" t="str">
        <x:v>MARCELO DAVI UCHOA FERREIRA</x:v>
      </x:c>
      <x:c r="C84" t="str">
        <x:v>2º ano</x:v>
      </x:c>
      <x:c r="D84" t="str">
        <x:v>referencia</x:v>
      </x:c>
      <x:c r="E84" t="str">
        <x:v>Defasagem</x:v>
      </x:c>
      <x:c r="F84" t="str">
        <x:v>Sim</x:v>
      </x:c>
      <x:c r="G84" t="str">
        <x:v>CAEd_DadosExportados (1).zip</x:v>
      </x:c>
      <x:c r="H84" t="str">
        <x:v>HABILIDADES_DESEMPENHO_ESTUDANTE 30-07-2026 9-18-48.csv</x:v>
      </x:c>
      <x:c r="I84" t="n">
        <x:v>0</x:v>
      </x:c>
      <x:c r="J84" t="n">
        <x:v>2</x:v>
      </x:c>
      <x:c r="K84" t="n">
        <x:v>2</x:v>
      </x:c>
      <x:c r="L84" t="n">
        <x:v>2</x:v>
      </x:c>
      <x:c r="M84" t="n">
        <x:v>0</x:v>
      </x:c>
      <x:c r="N84" t="n">
        <x:v>2</x:v>
      </x:c>
      <x:c r="O84" t="n">
        <x:v>2</x:v>
      </x:c>
      <x:c r="P84" t="n">
        <x:v>2</x:v>
      </x:c>
      <x:c r="Q84" t="n">
        <x:v>1</x:v>
      </x:c>
      <x:c r="R84" t="n">
        <x:v>1</x:v>
      </x:c>
      <x:c r="S84" t="n">
        <x:v>0</x:v>
      </x:c>
      <x:c r="T84" t="n">
        <x:v>2</x:v>
      </x:c>
      <x:c r="U84" t="n">
        <x:v>1</x:v>
      </x:c>
      <x:c r="V84" t="n">
        <x:v>2</x:v>
      </x:c>
      <x:c r="W84" t="n">
        <x:v>0</x:v>
      </x:c>
      <x:c r="X84" t="n">
        <x:v>2</x:v>
      </x:c>
      <x:c r="Y84" t="n">
        <x:v>2</x:v>
      </x:c>
      <x:c r="Z84" t="n">
        <x:v>2</x:v>
      </x:c>
      <x:c r="AA84" t="n">
        <x:v>0</x:v>
      </x:c>
      <x:c r="AB84" t="n">
        <x:v>1</x:v>
      </x:c>
      <x:c r="AC84" t="n">
        <x:v>0</x:v>
      </x:c>
      <x:c r="AD84" t="n">
        <x:v>2</x:v>
      </x:c>
      <x:c r="AE84" t="n">
        <x:v>1</x:v>
      </x:c>
      <x:c r="AF84" t="n">
        <x:v>1</x:v>
      </x:c>
      <x:c r="AG84" t="n">
        <x:v>0</x:v>
      </x:c>
      <x:c r="AH84" t="n">
        <x:v>1</x:v>
      </x:c>
      <x:c r="AI84" t="n">
        <x:f>SUM(I84,K84,M84,O84,Q84,S84,U84,W84,Y84,AA84,AC84,AE84,AG84)</x:f>
        <x:v>9</x:v>
      </x:c>
      <x:c r="AJ84" t="n">
        <x:f>SUM(J84,L84,N84,P84,R84,T84,V84,X84,Z84,AB84,AD84,AF84,AH84)</x:f>
        <x:v>22</x:v>
      </x:c>
      <x:c r="AK84" s="2" t="n">
        <x:f>IFERROR(AI84/AJ84,0)</x:f>
        <x:v>0.4090909090909091</x:v>
      </x:c>
      <x:c r="AL84" t="n">
        <x:f>IF(E84="Adequado",1,0)</x:f>
        <x:v>0</x:v>
      </x:c>
      <x:c r="AM84" t="n">
        <x:f>IF(C84="1º ano",IF(D84="referencia",Parametros!$B$4,Parametros!$B$5),IF(D84="referencia",Parametros!$B$6,Parametros!$B$7))</x:f>
        <x:v>16</x:v>
      </x:c>
      <x:c r="AN84" t="n">
        <x:f>MAX(0,AM84-AI84)</x:f>
        <x:v>7</x:v>
      </x:c>
    </x:row>
    <x:row r="85">
      <x:c r="A85" t="str">
        <x:v>2A019</x:v>
      </x:c>
      <x:c r="B85" t="str">
        <x:v>MARCELO DAVI UCHOA FERREIRA</x:v>
      </x:c>
      <x:c r="C85" t="str">
        <x:v>2º ano</x:v>
      </x:c>
      <x:c r="D85" t="str">
        <x:v>contraprova</x:v>
      </x:c>
      <x:c r="E85" t="str">
        <x:v>Defasagem</x:v>
      </x:c>
      <x:c r="F85" t="str">
        <x:v>Sim</x:v>
      </x:c>
      <x:c r="G85" t="str">
        <x:v>CAEd_DadosExportados (2).zip</x:v>
      </x:c>
      <x:c r="H85" t="str">
        <x:v>HABILIDADES_DESEMPENHO_ESTUDANTE 30-07-2026 9-19-16.csv</x:v>
      </x:c>
      <x:c r="I85" t="n">
        <x:v>0</x:v>
      </x:c>
      <x:c r="J85" t="n">
        <x:v>2</x:v>
      </x:c>
      <x:c r="K85" t="n">
        <x:v>0</x:v>
      </x:c>
      <x:c r="L85" t="n">
        <x:v>2</x:v>
      </x:c>
      <x:c r="M85" t="n">
        <x:v>0</x:v>
      </x:c>
      <x:c r="N85" t="n">
        <x:v>2</x:v>
      </x:c>
      <x:c r="O85" t="n">
        <x:v>0</x:v>
      </x:c>
      <x:c r="P85" t="n">
        <x:v>2</x:v>
      </x:c>
      <x:c r="Q85" t="n">
        <x:v>0</x:v>
      </x:c>
      <x:c r="R85" t="n">
        <x:v>2</x:v>
      </x:c>
      <x:c r="S85" t="n">
        <x:v>0</x:v>
      </x:c>
      <x:c r="T85" t="n">
        <x:v>2</x:v>
      </x:c>
      <x:c r="U85" t="n">
        <x:v>0</x:v>
      </x:c>
      <x:c r="V85" t="n">
        <x:v>2</x:v>
      </x:c>
      <x:c r="W85" t="n">
        <x:v>0</x:v>
      </x:c>
      <x:c r="X85" t="n">
        <x:v>2</x:v>
      </x:c>
      <x:c r="Y85" t="n">
        <x:v>0</x:v>
      </x:c>
      <x:c r="Z85" t="n">
        <x:v>2</x:v>
      </x:c>
      <x:c r="AA85" t="n">
        <x:v>0</x:v>
      </x:c>
      <x:c r="AB85" t="n">
        <x:v>2</x:v>
      </x:c>
      <x:c r="AC85" t="n">
        <x:v>0</x:v>
      </x:c>
      <x:c r="AD85" t="n">
        <x:v>2</x:v>
      </x:c>
      <x:c r="AE85"/>
      <x:c r="AF85"/>
      <x:c r="AG85"/>
      <x:c r="AH85"/>
      <x:c r="AI85" t="n">
        <x:f>SUM(I85,K85,M85,O85,Q85,S85,U85,W85,Y85,AA85,AC85,AE85,AG85)</x:f>
        <x:v>0</x:v>
      </x:c>
      <x:c r="AJ85" t="n">
        <x:f>SUM(J85,L85,N85,P85,R85,T85,V85,X85,Z85,AB85,AD85,AF85,AH85)</x:f>
        <x:v>22</x:v>
      </x:c>
      <x:c r="AK85" s="2" t="n">
        <x:f>IFERROR(AI85/AJ85,0)</x:f>
        <x:v>0</x:v>
      </x:c>
      <x:c r="AL85" t="n">
        <x:f>IF(E85="Adequado",1,0)</x:f>
        <x:v>0</x:v>
      </x:c>
      <x:c r="AM85" t="n">
        <x:f>IF(C85="1º ano",IF(D85="referencia",Parametros!$B$4,Parametros!$B$5),IF(D85="referencia",Parametros!$B$6,Parametros!$B$7))</x:f>
        <x:v>16</x:v>
      </x:c>
      <x:c r="AN85" t="n">
        <x:f>MAX(0,AM85-AI85)</x:f>
        <x:v>16</x:v>
      </x:c>
    </x:row>
    <x:row r="86">
      <x:c r="A86" t="str">
        <x:v>2A020</x:v>
      </x:c>
      <x:c r="B86" t="str">
        <x:v>MARIA ISABELA MACIEL FONTELE</x:v>
      </x:c>
      <x:c r="C86" t="str">
        <x:v>2º ano</x:v>
      </x:c>
      <x:c r="D86" t="str">
        <x:v>contraprova</x:v>
      </x:c>
      <x:c r="E86" t="str">
        <x:v>Defasagem</x:v>
      </x:c>
      <x:c r="F86" t="str">
        <x:v>Sim</x:v>
      </x:c>
      <x:c r="G86" t="str">
        <x:v>CAEd_DadosExportados (2).zip</x:v>
      </x:c>
      <x:c r="H86" t="str">
        <x:v>HABILIDADES_DESEMPENHO_ESTUDANTE 30-07-2026 9-19-16.csv</x:v>
      </x:c>
      <x:c r="I86" t="n">
        <x:v>0</x:v>
      </x:c>
      <x:c r="J86" t="n">
        <x:v>2</x:v>
      </x:c>
      <x:c r="K86" t="n">
        <x:v>1</x:v>
      </x:c>
      <x:c r="L86" t="n">
        <x:v>2</x:v>
      </x:c>
      <x:c r="M86" t="n">
        <x:v>0</x:v>
      </x:c>
      <x:c r="N86" t="n">
        <x:v>2</x:v>
      </x:c>
      <x:c r="O86" t="n">
        <x:v>0</x:v>
      </x:c>
      <x:c r="P86" t="n">
        <x:v>2</x:v>
      </x:c>
      <x:c r="Q86" t="n">
        <x:v>1</x:v>
      </x:c>
      <x:c r="R86" t="n">
        <x:v>2</x:v>
      </x:c>
      <x:c r="S86" t="n">
        <x:v>1</x:v>
      </x:c>
      <x:c r="T86" t="n">
        <x:v>2</x:v>
      </x:c>
      <x:c r="U86" t="n">
        <x:v>0</x:v>
      </x:c>
      <x:c r="V86" t="n">
        <x:v>2</x:v>
      </x:c>
      <x:c r="W86" t="n">
        <x:v>2</x:v>
      </x:c>
      <x:c r="X86" t="n">
        <x:v>2</x:v>
      </x:c>
      <x:c r="Y86" t="n">
        <x:v>1</x:v>
      </x:c>
      <x:c r="Z86" t="n">
        <x:v>2</x:v>
      </x:c>
      <x:c r="AA86" t="n">
        <x:v>2</x:v>
      </x:c>
      <x:c r="AB86" t="n">
        <x:v>2</x:v>
      </x:c>
      <x:c r="AC86" t="n">
        <x:v>2</x:v>
      </x:c>
      <x:c r="AD86" t="n">
        <x:v>2</x:v>
      </x:c>
      <x:c r="AE86"/>
      <x:c r="AF86"/>
      <x:c r="AG86"/>
      <x:c r="AH86"/>
      <x:c r="AI86" t="n">
        <x:f>SUM(I86,K86,M86,O86,Q86,S86,U86,W86,Y86,AA86,AC86,AE86,AG86)</x:f>
        <x:v>10</x:v>
      </x:c>
      <x:c r="AJ86" t="n">
        <x:f>SUM(J86,L86,N86,P86,R86,T86,V86,X86,Z86,AB86,AD86,AF86,AH86)</x:f>
        <x:v>22</x:v>
      </x:c>
      <x:c r="AK86" s="2" t="n">
        <x:f>IFERROR(AI86/AJ86,0)</x:f>
        <x:v>0.45454545454545453</x:v>
      </x:c>
      <x:c r="AL86" t="n">
        <x:f>IF(E86="Adequado",1,0)</x:f>
        <x:v>0</x:v>
      </x:c>
      <x:c r="AM86" t="n">
        <x:f>IF(C86="1º ano",IF(D86="referencia",Parametros!$B$4,Parametros!$B$5),IF(D86="referencia",Parametros!$B$6,Parametros!$B$7))</x:f>
        <x:v>16</x:v>
      </x:c>
      <x:c r="AN86" t="n">
        <x:f>MAX(0,AM86-AI86)</x:f>
        <x:v>6</x:v>
      </x:c>
    </x:row>
    <x:row r="87">
      <x:c r="A87" t="str">
        <x:v>2A021</x:v>
      </x:c>
      <x:c r="B87" t="str">
        <x:v>MARIA SOFIA DA SILVA FERREIRA</x:v>
      </x:c>
      <x:c r="C87" t="str">
        <x:v>2º ano</x:v>
      </x:c>
      <x:c r="D87" t="str">
        <x:v>referencia</x:v>
      </x:c>
      <x:c r="E87" t="str">
        <x:v>Adequado</x:v>
      </x:c>
      <x:c r="F87" t="str">
        <x:v>Sim</x:v>
      </x:c>
      <x:c r="G87" t="str">
        <x:v>CAEd_DadosExportados (1).zip</x:v>
      </x:c>
      <x:c r="H87" t="str">
        <x:v>HABILIDADES_DESEMPENHO_ESTUDANTE 30-07-2026 9-18-48.csv</x:v>
      </x:c>
      <x:c r="I87" t="n">
        <x:v>1</x:v>
      </x:c>
      <x:c r="J87" t="n">
        <x:v>2</x:v>
      </x:c>
      <x:c r="K87" t="n">
        <x:v>2</x:v>
      </x:c>
      <x:c r="L87" t="n">
        <x:v>2</x:v>
      </x:c>
      <x:c r="M87" t="n">
        <x:v>2</x:v>
      </x:c>
      <x:c r="N87" t="n">
        <x:v>2</x:v>
      </x:c>
      <x:c r="O87" t="n">
        <x:v>2</x:v>
      </x:c>
      <x:c r="P87" t="n">
        <x:v>2</x:v>
      </x:c>
      <x:c r="Q87" t="n">
        <x:v>1</x:v>
      </x:c>
      <x:c r="R87" t="n">
        <x:v>1</x:v>
      </x:c>
      <x:c r="S87" t="n">
        <x:v>2</x:v>
      </x:c>
      <x:c r="T87" t="n">
        <x:v>2</x:v>
      </x:c>
      <x:c r="U87" t="n">
        <x:v>1</x:v>
      </x:c>
      <x:c r="V87" t="n">
        <x:v>2</x:v>
      </x:c>
      <x:c r="W87" t="n">
        <x:v>2</x:v>
      </x:c>
      <x:c r="X87" t="n">
        <x:v>2</x:v>
      </x:c>
      <x:c r="Y87" t="n">
        <x:v>2</x:v>
      </x:c>
      <x:c r="Z87" t="n">
        <x:v>2</x:v>
      </x:c>
      <x:c r="AA87" t="n">
        <x:v>1</x:v>
      </x:c>
      <x:c r="AB87" t="n">
        <x:v>1</x:v>
      </x:c>
      <x:c r="AC87" t="n">
        <x:v>1</x:v>
      </x:c>
      <x:c r="AD87" t="n">
        <x:v>2</x:v>
      </x:c>
      <x:c r="AE87" t="n">
        <x:v>0</x:v>
      </x:c>
      <x:c r="AF87" t="n">
        <x:v>1</x:v>
      </x:c>
      <x:c r="AG87" t="n">
        <x:v>0</x:v>
      </x:c>
      <x:c r="AH87" t="n">
        <x:v>1</x:v>
      </x:c>
      <x:c r="AI87" t="n">
        <x:f>SUM(I87,K87,M87,O87,Q87,S87,U87,W87,Y87,AA87,AC87,AE87,AG87)</x:f>
        <x:v>17</x:v>
      </x:c>
      <x:c r="AJ87" t="n">
        <x:f>SUM(J87,L87,N87,P87,R87,T87,V87,X87,Z87,AB87,AD87,AF87,AH87)</x:f>
        <x:v>22</x:v>
      </x:c>
      <x:c r="AK87" s="2" t="n">
        <x:f>IFERROR(AI87/AJ87,0)</x:f>
        <x:v>0.7727272727272727</x:v>
      </x:c>
      <x:c r="AL87" t="n">
        <x:f>IF(E87="Adequado",1,0)</x:f>
        <x:v>1</x:v>
      </x:c>
      <x:c r="AM87" t="n">
        <x:f>IF(C87="1º ano",IF(D87="referencia",Parametros!$B$4,Parametros!$B$5),IF(D87="referencia",Parametros!$B$6,Parametros!$B$7))</x:f>
        <x:v>16</x:v>
      </x:c>
      <x:c r="AN87" t="n">
        <x:f>MAX(0,AM87-AI87)</x:f>
        <x:v>0</x:v>
      </x:c>
    </x:row>
    <x:row r="88">
      <x:c r="A88" t="str">
        <x:v>2A021</x:v>
      </x:c>
      <x:c r="B88" t="str">
        <x:v>MARIA SOFIA DA SILVA FERREIRA</x:v>
      </x:c>
      <x:c r="C88" t="str">
        <x:v>2º ano</x:v>
      </x:c>
      <x:c r="D88" t="str">
        <x:v>contraprova</x:v>
      </x:c>
      <x:c r="E88" t="str">
        <x:v>Adequado</x:v>
      </x:c>
      <x:c r="F88" t="str">
        <x:v>Sim</x:v>
      </x:c>
      <x:c r="G88" t="str">
        <x:v>CAEd_DadosExportados (2).zip</x:v>
      </x:c>
      <x:c r="H88" t="str">
        <x:v>HABILIDADES_DESEMPENHO_ESTUDANTE 30-07-2026 9-19-16.csv</x:v>
      </x:c>
      <x:c r="I88" t="n">
        <x:v>0</x:v>
      </x:c>
      <x:c r="J88" t="n">
        <x:v>2</x:v>
      </x:c>
      <x:c r="K88" t="n">
        <x:v>0</x:v>
      </x:c>
      <x:c r="L88" t="n">
        <x:v>2</x:v>
      </x:c>
      <x:c r="M88" t="n">
        <x:v>2</x:v>
      </x:c>
      <x:c r="N88" t="n">
        <x:v>2</x:v>
      </x:c>
      <x:c r="O88" t="n">
        <x:v>2</x:v>
      </x:c>
      <x:c r="P88" t="n">
        <x:v>2</x:v>
      </x:c>
      <x:c r="Q88" t="n">
        <x:v>2</x:v>
      </x:c>
      <x:c r="R88" t="n">
        <x:v>2</x:v>
      </x:c>
      <x:c r="S88" t="n">
        <x:v>2</x:v>
      </x:c>
      <x:c r="T88" t="n">
        <x:v>2</x:v>
      </x:c>
      <x:c r="U88" t="n">
        <x:v>1</x:v>
      </x:c>
      <x:c r="V88" t="n">
        <x:v>2</x:v>
      </x:c>
      <x:c r="W88" t="n">
        <x:v>1</x:v>
      </x:c>
      <x:c r="X88" t="n">
        <x:v>2</x:v>
      </x:c>
      <x:c r="Y88" t="n">
        <x:v>2</x:v>
      </x:c>
      <x:c r="Z88" t="n">
        <x:v>2</x:v>
      </x:c>
      <x:c r="AA88" t="n">
        <x:v>2</x:v>
      </x:c>
      <x:c r="AB88" t="n">
        <x:v>2</x:v>
      </x:c>
      <x:c r="AC88" t="n">
        <x:v>2</x:v>
      </x:c>
      <x:c r="AD88" t="n">
        <x:v>2</x:v>
      </x:c>
      <x:c r="AE88"/>
      <x:c r="AF88"/>
      <x:c r="AG88"/>
      <x:c r="AH88"/>
      <x:c r="AI88" t="n">
        <x:f>SUM(I88,K88,M88,O88,Q88,S88,U88,W88,Y88,AA88,AC88,AE88,AG88)</x:f>
        <x:v>16</x:v>
      </x:c>
      <x:c r="AJ88" t="n">
        <x:f>SUM(J88,L88,N88,P88,R88,T88,V88,X88,Z88,AB88,AD88,AF88,AH88)</x:f>
        <x:v>22</x:v>
      </x:c>
      <x:c r="AK88" s="2" t="n">
        <x:f>IFERROR(AI88/AJ88,0)</x:f>
        <x:v>0.7272727272727273</x:v>
      </x:c>
      <x:c r="AL88" t="n">
        <x:f>IF(E88="Adequado",1,0)</x:f>
        <x:v>1</x:v>
      </x:c>
      <x:c r="AM88" t="n">
        <x:f>IF(C88="1º ano",IF(D88="referencia",Parametros!$B$4,Parametros!$B$5),IF(D88="referencia",Parametros!$B$6,Parametros!$B$7))</x:f>
        <x:v>16</x:v>
      </x:c>
      <x:c r="AN88" t="n">
        <x:f>MAX(0,AM88-AI88)</x:f>
        <x:v>0</x:v>
      </x:c>
    </x:row>
    <x:row r="89">
      <x:c r="A89" t="str">
        <x:v>2A022</x:v>
      </x:c>
      <x:c r="B89" t="str">
        <x:v>MARIA VALENTINA LEITAO DA SILVA</x:v>
      </x:c>
      <x:c r="C89" t="str">
        <x:v>2º ano</x:v>
      </x:c>
      <x:c r="D89" t="str">
        <x:v>referencia</x:v>
      </x:c>
      <x:c r="E89" t="str">
        <x:v>Adequado</x:v>
      </x:c>
      <x:c r="F89" t="str">
        <x:v>Sim</x:v>
      </x:c>
      <x:c r="G89" t="str">
        <x:v>CAEd_DadosExportados (1).zip</x:v>
      </x:c>
      <x:c r="H89" t="str">
        <x:v>HABILIDADES_DESEMPENHO_ESTUDANTE 30-07-2026 9-18-48.csv</x:v>
      </x:c>
      <x:c r="I89" t="n">
        <x:v>1</x:v>
      </x:c>
      <x:c r="J89" t="n">
        <x:v>2</x:v>
      </x:c>
      <x:c r="K89" t="n">
        <x:v>2</x:v>
      </x:c>
      <x:c r="L89" t="n">
        <x:v>2</x:v>
      </x:c>
      <x:c r="M89" t="n">
        <x:v>2</x:v>
      </x:c>
      <x:c r="N89" t="n">
        <x:v>2</x:v>
      </x:c>
      <x:c r="O89" t="n">
        <x:v>2</x:v>
      </x:c>
      <x:c r="P89" t="n">
        <x:v>2</x:v>
      </x:c>
      <x:c r="Q89" t="n">
        <x:v>1</x:v>
      </x:c>
      <x:c r="R89" t="n">
        <x:v>1</x:v>
      </x:c>
      <x:c r="S89" t="n">
        <x:v>1</x:v>
      </x:c>
      <x:c r="T89" t="n">
        <x:v>2</x:v>
      </x:c>
      <x:c r="U89" t="n">
        <x:v>2</x:v>
      </x:c>
      <x:c r="V89" t="n">
        <x:v>2</x:v>
      </x:c>
      <x:c r="W89" t="n">
        <x:v>2</x:v>
      </x:c>
      <x:c r="X89" t="n">
        <x:v>2</x:v>
      </x:c>
      <x:c r="Y89" t="n">
        <x:v>2</x:v>
      </x:c>
      <x:c r="Z89" t="n">
        <x:v>2</x:v>
      </x:c>
      <x:c r="AA89" t="n">
        <x:v>1</x:v>
      </x:c>
      <x:c r="AB89" t="n">
        <x:v>1</x:v>
      </x:c>
      <x:c r="AC89" t="n">
        <x:v>1</x:v>
      </x:c>
      <x:c r="AD89" t="n">
        <x:v>2</x:v>
      </x:c>
      <x:c r="AE89" t="n">
        <x:v>1</x:v>
      </x:c>
      <x:c r="AF89" t="n">
        <x:v>1</x:v>
      </x:c>
      <x:c r="AG89" t="n">
        <x:v>0</x:v>
      </x:c>
      <x:c r="AH89" t="n">
        <x:v>1</x:v>
      </x:c>
      <x:c r="AI89" t="n">
        <x:f>SUM(I89,K89,M89,O89,Q89,S89,U89,W89,Y89,AA89,AC89,AE89,AG89)</x:f>
        <x:v>18</x:v>
      </x:c>
      <x:c r="AJ89" t="n">
        <x:f>SUM(J89,L89,N89,P89,R89,T89,V89,X89,Z89,AB89,AD89,AF89,AH89)</x:f>
        <x:v>22</x:v>
      </x:c>
      <x:c r="AK89" s="2" t="n">
        <x:f>IFERROR(AI89/AJ89,0)</x:f>
        <x:v>0.8181818181818182</x:v>
      </x:c>
      <x:c r="AL89" t="n">
        <x:f>IF(E89="Adequado",1,0)</x:f>
        <x:v>1</x:v>
      </x:c>
      <x:c r="AM89" t="n">
        <x:f>IF(C89="1º ano",IF(D89="referencia",Parametros!$B$4,Parametros!$B$5),IF(D89="referencia",Parametros!$B$6,Parametros!$B$7))</x:f>
        <x:v>16</x:v>
      </x:c>
      <x:c r="AN89" t="n">
        <x:f>MAX(0,AM89-AI89)</x:f>
        <x:v>0</x:v>
      </x:c>
    </x:row>
    <x:row r="90">
      <x:c r="A90" t="str">
        <x:v>2A022</x:v>
      </x:c>
      <x:c r="B90" t="str">
        <x:v>MARIA VALENTINA LEITAO DA SILVA</x:v>
      </x:c>
      <x:c r="C90" t="str">
        <x:v>2º ano</x:v>
      </x:c>
      <x:c r="D90" t="str">
        <x:v>contraprova</x:v>
      </x:c>
      <x:c r="E90" t="str">
        <x:v>Adequado</x:v>
      </x:c>
      <x:c r="F90" t="str">
        <x:v>Sim</x:v>
      </x:c>
      <x:c r="G90" t="str">
        <x:v>CAEd_DadosExportados (2).zip</x:v>
      </x:c>
      <x:c r="H90" t="str">
        <x:v>HABILIDADES_DESEMPENHO_ESTUDANTE 30-07-2026 9-19-16.csv</x:v>
      </x:c>
      <x:c r="I90" t="n">
        <x:v>0</x:v>
      </x:c>
      <x:c r="J90" t="n">
        <x:v>2</x:v>
      </x:c>
      <x:c r="K90" t="n">
        <x:v>2</x:v>
      </x:c>
      <x:c r="L90" t="n">
        <x:v>2</x:v>
      </x:c>
      <x:c r="M90" t="n">
        <x:v>2</x:v>
      </x:c>
      <x:c r="N90" t="n">
        <x:v>2</x:v>
      </x:c>
      <x:c r="O90" t="n">
        <x:v>2</x:v>
      </x:c>
      <x:c r="P90" t="n">
        <x:v>2</x:v>
      </x:c>
      <x:c r="Q90" t="n">
        <x:v>1</x:v>
      </x:c>
      <x:c r="R90" t="n">
        <x:v>2</x:v>
      </x:c>
      <x:c r="S90" t="n">
        <x:v>2</x:v>
      </x:c>
      <x:c r="T90" t="n">
        <x:v>2</x:v>
      </x:c>
      <x:c r="U90" t="n">
        <x:v>1</x:v>
      </x:c>
      <x:c r="V90" t="n">
        <x:v>2</x:v>
      </x:c>
      <x:c r="W90" t="n">
        <x:v>1</x:v>
      </x:c>
      <x:c r="X90" t="n">
        <x:v>2</x:v>
      </x:c>
      <x:c r="Y90" t="n">
        <x:v>2</x:v>
      </x:c>
      <x:c r="Z90" t="n">
        <x:v>2</x:v>
      </x:c>
      <x:c r="AA90" t="n">
        <x:v>2</x:v>
      </x:c>
      <x:c r="AB90" t="n">
        <x:v>2</x:v>
      </x:c>
      <x:c r="AC90" t="n">
        <x:v>2</x:v>
      </x:c>
      <x:c r="AD90" t="n">
        <x:v>2</x:v>
      </x:c>
      <x:c r="AE90"/>
      <x:c r="AF90"/>
      <x:c r="AG90"/>
      <x:c r="AH90"/>
      <x:c r="AI90" t="n">
        <x:f>SUM(I90,K90,M90,O90,Q90,S90,U90,W90,Y90,AA90,AC90,AE90,AG90)</x:f>
        <x:v>17</x:v>
      </x:c>
      <x:c r="AJ90" t="n">
        <x:f>SUM(J90,L90,N90,P90,R90,T90,V90,X90,Z90,AB90,AD90,AF90,AH90)</x:f>
        <x:v>22</x:v>
      </x:c>
      <x:c r="AK90" s="2" t="n">
        <x:f>IFERROR(AI90/AJ90,0)</x:f>
        <x:v>0.7727272727272727</x:v>
      </x:c>
      <x:c r="AL90" t="n">
        <x:f>IF(E90="Adequado",1,0)</x:f>
        <x:v>1</x:v>
      </x:c>
      <x:c r="AM90" t="n">
        <x:f>IF(C90="1º ano",IF(D90="referencia",Parametros!$B$4,Parametros!$B$5),IF(D90="referencia",Parametros!$B$6,Parametros!$B$7))</x:f>
        <x:v>16</x:v>
      </x:c>
      <x:c r="AN90" t="n">
        <x:f>MAX(0,AM90-AI90)</x:f>
        <x:v>0</x:v>
      </x:c>
    </x:row>
    <x:row r="91">
      <x:c r="A91" t="str">
        <x:v>2A023</x:v>
      </x:c>
      <x:c r="B91" t="str">
        <x:v>MELISSA MARIA CAVALCANTE</x:v>
      </x:c>
      <x:c r="C91" t="str">
        <x:v>2º ano</x:v>
      </x:c>
      <x:c r="D91" t="str">
        <x:v>referencia</x:v>
      </x:c>
      <x:c r="E91" t="str">
        <x:v>Adequado</x:v>
      </x:c>
      <x:c r="F91" t="str">
        <x:v>Sim</x:v>
      </x:c>
      <x:c r="G91" t="str">
        <x:v>CAEd_DadosExportados (1).zip</x:v>
      </x:c>
      <x:c r="H91" t="str">
        <x:v>HABILIDADES_DESEMPENHO_ESTUDANTE 30-07-2026 9-18-48.csv</x:v>
      </x:c>
      <x:c r="I91" t="n">
        <x:v>0</x:v>
      </x:c>
      <x:c r="J91" t="n">
        <x:v>2</x:v>
      </x:c>
      <x:c r="K91" t="n">
        <x:v>2</x:v>
      </x:c>
      <x:c r="L91" t="n">
        <x:v>2</x:v>
      </x:c>
      <x:c r="M91" t="n">
        <x:v>2</x:v>
      </x:c>
      <x:c r="N91" t="n">
        <x:v>2</x:v>
      </x:c>
      <x:c r="O91" t="n">
        <x:v>2</x:v>
      </x:c>
      <x:c r="P91" t="n">
        <x:v>2</x:v>
      </x:c>
      <x:c r="Q91" t="n">
        <x:v>1</x:v>
      </x:c>
      <x:c r="R91" t="n">
        <x:v>1</x:v>
      </x:c>
      <x:c r="S91" t="n">
        <x:v>2</x:v>
      </x:c>
      <x:c r="T91" t="n">
        <x:v>2</x:v>
      </x:c>
      <x:c r="U91" t="n">
        <x:v>2</x:v>
      </x:c>
      <x:c r="V91" t="n">
        <x:v>2</x:v>
      </x:c>
      <x:c r="W91" t="n">
        <x:v>2</x:v>
      </x:c>
      <x:c r="X91" t="n">
        <x:v>2</x:v>
      </x:c>
      <x:c r="Y91" t="n">
        <x:v>2</x:v>
      </x:c>
      <x:c r="Z91" t="n">
        <x:v>2</x:v>
      </x:c>
      <x:c r="AA91" t="n">
        <x:v>1</x:v>
      </x:c>
      <x:c r="AB91" t="n">
        <x:v>1</x:v>
      </x:c>
      <x:c r="AC91" t="n">
        <x:v>2</x:v>
      </x:c>
      <x:c r="AD91" t="n">
        <x:v>2</x:v>
      </x:c>
      <x:c r="AE91" t="n">
        <x:v>1</x:v>
      </x:c>
      <x:c r="AF91" t="n">
        <x:v>1</x:v>
      </x:c>
      <x:c r="AG91" t="n">
        <x:v>1</x:v>
      </x:c>
      <x:c r="AH91" t="n">
        <x:v>1</x:v>
      </x:c>
      <x:c r="AI91" t="n">
        <x:f>SUM(I91,K91,M91,O91,Q91,S91,U91,W91,Y91,AA91,AC91,AE91,AG91)</x:f>
        <x:v>20</x:v>
      </x:c>
      <x:c r="AJ91" t="n">
        <x:f>SUM(J91,L91,N91,P91,R91,T91,V91,X91,Z91,AB91,AD91,AF91,AH91)</x:f>
        <x:v>22</x:v>
      </x:c>
      <x:c r="AK91" s="2" t="n">
        <x:f>IFERROR(AI91/AJ91,0)</x:f>
        <x:v>0.9090909090909091</x:v>
      </x:c>
      <x:c r="AL91" t="n">
        <x:f>IF(E91="Adequado",1,0)</x:f>
        <x:v>1</x:v>
      </x:c>
      <x:c r="AM91" t="n">
        <x:f>IF(C91="1º ano",IF(D91="referencia",Parametros!$B$4,Parametros!$B$5),IF(D91="referencia",Parametros!$B$6,Parametros!$B$7))</x:f>
        <x:v>16</x:v>
      </x:c>
      <x:c r="AN91" t="n">
        <x:f>MAX(0,AM91-AI91)</x:f>
        <x:v>0</x:v>
      </x:c>
    </x:row>
    <x:row r="92">
      <x:c r="A92" t="str">
        <x:v>2A023</x:v>
      </x:c>
      <x:c r="B92" t="str">
        <x:v>MELISSA MARIA CAVALCANTE</x:v>
      </x:c>
      <x:c r="C92" t="str">
        <x:v>2º ano</x:v>
      </x:c>
      <x:c r="D92" t="str">
        <x:v>contraprova</x:v>
      </x:c>
      <x:c r="E92" t="str">
        <x:v>Adequado</x:v>
      </x:c>
      <x:c r="F92" t="str">
        <x:v>Sim</x:v>
      </x:c>
      <x:c r="G92" t="str">
        <x:v>CAEd_DadosExportados (2).zip</x:v>
      </x:c>
      <x:c r="H92" t="str">
        <x:v>HABILIDADES_DESEMPENHO_ESTUDANTE 30-07-2026 9-19-16.csv</x:v>
      </x:c>
      <x:c r="I92" t="n">
        <x:v>0</x:v>
      </x:c>
      <x:c r="J92" t="n">
        <x:v>2</x:v>
      </x:c>
      <x:c r="K92" t="n">
        <x:v>2</x:v>
      </x:c>
      <x:c r="L92" t="n">
        <x:v>2</x:v>
      </x:c>
      <x:c r="M92" t="n">
        <x:v>2</x:v>
      </x:c>
      <x:c r="N92" t="n">
        <x:v>2</x:v>
      </x:c>
      <x:c r="O92" t="n">
        <x:v>2</x:v>
      </x:c>
      <x:c r="P92" t="n">
        <x:v>2</x:v>
      </x:c>
      <x:c r="Q92" t="n">
        <x:v>2</x:v>
      </x:c>
      <x:c r="R92" t="n">
        <x:v>2</x:v>
      </x:c>
      <x:c r="S92" t="n">
        <x:v>2</x:v>
      </x:c>
      <x:c r="T92" t="n">
        <x:v>2</x:v>
      </x:c>
      <x:c r="U92" t="n">
        <x:v>2</x:v>
      </x:c>
      <x:c r="V92" t="n">
        <x:v>2</x:v>
      </x:c>
      <x:c r="W92" t="n">
        <x:v>2</x:v>
      </x:c>
      <x:c r="X92" t="n">
        <x:v>2</x:v>
      </x:c>
      <x:c r="Y92" t="n">
        <x:v>2</x:v>
      </x:c>
      <x:c r="Z92" t="n">
        <x:v>2</x:v>
      </x:c>
      <x:c r="AA92" t="n">
        <x:v>2</x:v>
      </x:c>
      <x:c r="AB92" t="n">
        <x:v>2</x:v>
      </x:c>
      <x:c r="AC92" t="n">
        <x:v>2</x:v>
      </x:c>
      <x:c r="AD92" t="n">
        <x:v>2</x:v>
      </x:c>
      <x:c r="AE92"/>
      <x:c r="AF92"/>
      <x:c r="AG92"/>
      <x:c r="AH92"/>
      <x:c r="AI92" t="n">
        <x:f>SUM(I92,K92,M92,O92,Q92,S92,U92,W92,Y92,AA92,AC92,AE92,AG92)</x:f>
        <x:v>20</x:v>
      </x:c>
      <x:c r="AJ92" t="n">
        <x:f>SUM(J92,L92,N92,P92,R92,T92,V92,X92,Z92,AB92,AD92,AF92,AH92)</x:f>
        <x:v>22</x:v>
      </x:c>
      <x:c r="AK92" s="2" t="n">
        <x:f>IFERROR(AI92/AJ92,0)</x:f>
        <x:v>0.9090909090909091</x:v>
      </x:c>
      <x:c r="AL92" t="n">
        <x:f>IF(E92="Adequado",1,0)</x:f>
        <x:v>1</x:v>
      </x:c>
      <x:c r="AM92" t="n">
        <x:f>IF(C92="1º ano",IF(D92="referencia",Parametros!$B$4,Parametros!$B$5),IF(D92="referencia",Parametros!$B$6,Parametros!$B$7))</x:f>
        <x:v>16</x:v>
      </x:c>
      <x:c r="AN92" t="n">
        <x:f>MAX(0,AM92-AI92)</x:f>
        <x:v>0</x:v>
      </x:c>
    </x:row>
    <x:row r="93">
      <x:c r="A93" t="str">
        <x:v>2A024</x:v>
      </x:c>
      <x:c r="B93" t="str">
        <x:v>MIGUEL ALBERTO UCHOA FERREIRA</x:v>
      </x:c>
      <x:c r="C93" t="str">
        <x:v>2º ano</x:v>
      </x:c>
      <x:c r="D93" t="str">
        <x:v>referencia</x:v>
      </x:c>
      <x:c r="E93" t="str">
        <x:v>Defasagem</x:v>
      </x:c>
      <x:c r="F93" t="str">
        <x:v>Sim</x:v>
      </x:c>
      <x:c r="G93" t="str">
        <x:v>CAEd_DadosExportados (1).zip</x:v>
      </x:c>
      <x:c r="H93" t="str">
        <x:v>HABILIDADES_DESEMPENHO_ESTUDANTE 30-07-2026 9-18-48.csv</x:v>
      </x:c>
      <x:c r="I93" t="n">
        <x:v>0</x:v>
      </x:c>
      <x:c r="J93" t="n">
        <x:v>2</x:v>
      </x:c>
      <x:c r="K93" t="n">
        <x:v>1</x:v>
      </x:c>
      <x:c r="L93" t="n">
        <x:v>2</x:v>
      </x:c>
      <x:c r="M93" t="n">
        <x:v>0</x:v>
      </x:c>
      <x:c r="N93" t="n">
        <x:v>2</x:v>
      </x:c>
      <x:c r="O93" t="n">
        <x:v>1</x:v>
      </x:c>
      <x:c r="P93" t="n">
        <x:v>2</x:v>
      </x:c>
      <x:c r="Q93" t="n">
        <x:v>0</x:v>
      </x:c>
      <x:c r="R93" t="n">
        <x:v>1</x:v>
      </x:c>
      <x:c r="S93" t="n">
        <x:v>0</x:v>
      </x:c>
      <x:c r="T93" t="n">
        <x:v>2</x:v>
      </x:c>
      <x:c r="U93" t="n">
        <x:v>1</x:v>
      </x:c>
      <x:c r="V93" t="n">
        <x:v>2</x:v>
      </x:c>
      <x:c r="W93" t="n">
        <x:v>1</x:v>
      </x:c>
      <x:c r="X93" t="n">
        <x:v>2</x:v>
      </x:c>
      <x:c r="Y93" t="n">
        <x:v>1</x:v>
      </x:c>
      <x:c r="Z93" t="n">
        <x:v>2</x:v>
      </x:c>
      <x:c r="AA93" t="n">
        <x:v>1</x:v>
      </x:c>
      <x:c r="AB93" t="n">
        <x:v>1</x:v>
      </x:c>
      <x:c r="AC93" t="n">
        <x:v>1</x:v>
      </x:c>
      <x:c r="AD93" t="n">
        <x:v>2</x:v>
      </x:c>
      <x:c r="AE93" t="n">
        <x:v>0</x:v>
      </x:c>
      <x:c r="AF93" t="n">
        <x:v>1</x:v>
      </x:c>
      <x:c r="AG93" t="n">
        <x:v>0</x:v>
      </x:c>
      <x:c r="AH93" t="n">
        <x:v>1</x:v>
      </x:c>
      <x:c r="AI93" t="n">
        <x:f>SUM(I93,K93,M93,O93,Q93,S93,U93,W93,Y93,AA93,AC93,AE93,AG93)</x:f>
        <x:v>7</x:v>
      </x:c>
      <x:c r="AJ93" t="n">
        <x:f>SUM(J93,L93,N93,P93,R93,T93,V93,X93,Z93,AB93,AD93,AF93,AH93)</x:f>
        <x:v>22</x:v>
      </x:c>
      <x:c r="AK93" s="2" t="n">
        <x:f>IFERROR(AI93/AJ93,0)</x:f>
        <x:v>0.3181818181818182</x:v>
      </x:c>
      <x:c r="AL93" t="n">
        <x:f>IF(E93="Adequado",1,0)</x:f>
        <x:v>0</x:v>
      </x:c>
      <x:c r="AM93" t="n">
        <x:f>IF(C93="1º ano",IF(D93="referencia",Parametros!$B$4,Parametros!$B$5),IF(D93="referencia",Parametros!$B$6,Parametros!$B$7))</x:f>
        <x:v>16</x:v>
      </x:c>
      <x:c r="AN93" t="n">
        <x:f>MAX(0,AM93-AI93)</x:f>
        <x:v>9</x:v>
      </x:c>
    </x:row>
    <x:row r="94">
      <x:c r="A94" t="str">
        <x:v>2A024</x:v>
      </x:c>
      <x:c r="B94" t="str">
        <x:v>MIGUEL ALBERTO UCHOA FERREIRA</x:v>
      </x:c>
      <x:c r="C94" t="str">
        <x:v>2º ano</x:v>
      </x:c>
      <x:c r="D94" t="str">
        <x:v>contraprova</x:v>
      </x:c>
      <x:c r="E94" t="str">
        <x:v>Defasagem</x:v>
      </x:c>
      <x:c r="F94" t="str">
        <x:v>Sim</x:v>
      </x:c>
      <x:c r="G94" t="str">
        <x:v>CAEd_DadosExportados (2).zip</x:v>
      </x:c>
      <x:c r="H94" t="str">
        <x:v>HABILIDADES_DESEMPENHO_ESTUDANTE 30-07-2026 9-19-16.csv</x:v>
      </x:c>
      <x:c r="I94" t="n">
        <x:v>0</x:v>
      </x:c>
      <x:c r="J94" t="n">
        <x:v>2</x:v>
      </x:c>
      <x:c r="K94" t="n">
        <x:v>0</x:v>
      </x:c>
      <x:c r="L94" t="n">
        <x:v>2</x:v>
      </x:c>
      <x:c r="M94" t="n">
        <x:v>0</x:v>
      </x:c>
      <x:c r="N94" t="n">
        <x:v>2</x:v>
      </x:c>
      <x:c r="O94" t="n">
        <x:v>0</x:v>
      </x:c>
      <x:c r="P94" t="n">
        <x:v>2</x:v>
      </x:c>
      <x:c r="Q94" t="n">
        <x:v>0</x:v>
      </x:c>
      <x:c r="R94" t="n">
        <x:v>2</x:v>
      </x:c>
      <x:c r="S94" t="n">
        <x:v>0</x:v>
      </x:c>
      <x:c r="T94" t="n">
        <x:v>2</x:v>
      </x:c>
      <x:c r="U94" t="n">
        <x:v>0</x:v>
      </x:c>
      <x:c r="V94" t="n">
        <x:v>2</x:v>
      </x:c>
      <x:c r="W94" t="n">
        <x:v>0</x:v>
      </x:c>
      <x:c r="X94" t="n">
        <x:v>2</x:v>
      </x:c>
      <x:c r="Y94" t="n">
        <x:v>0</x:v>
      </x:c>
      <x:c r="Z94" t="n">
        <x:v>2</x:v>
      </x:c>
      <x:c r="AA94" t="n">
        <x:v>0</x:v>
      </x:c>
      <x:c r="AB94" t="n">
        <x:v>2</x:v>
      </x:c>
      <x:c r="AC94" t="n">
        <x:v>0</x:v>
      </x:c>
      <x:c r="AD94" t="n">
        <x:v>2</x:v>
      </x:c>
      <x:c r="AE94"/>
      <x:c r="AF94"/>
      <x:c r="AG94"/>
      <x:c r="AH94"/>
      <x:c r="AI94" t="n">
        <x:f>SUM(I94,K94,M94,O94,Q94,S94,U94,W94,Y94,AA94,AC94,AE94,AG94)</x:f>
        <x:v>0</x:v>
      </x:c>
      <x:c r="AJ94" t="n">
        <x:f>SUM(J94,L94,N94,P94,R94,T94,V94,X94,Z94,AB94,AD94,AF94,AH94)</x:f>
        <x:v>22</x:v>
      </x:c>
      <x:c r="AK94" s="2" t="n">
        <x:f>IFERROR(AI94/AJ94,0)</x:f>
        <x:v>0</x:v>
      </x:c>
      <x:c r="AL94" t="n">
        <x:f>IF(E94="Adequado",1,0)</x:f>
        <x:v>0</x:v>
      </x:c>
      <x:c r="AM94" t="n">
        <x:f>IF(C94="1º ano",IF(D94="referencia",Parametros!$B$4,Parametros!$B$5),IF(D94="referencia",Parametros!$B$6,Parametros!$B$7))</x:f>
        <x:v>16</x:v>
      </x:c>
      <x:c r="AN94" t="n">
        <x:f>MAX(0,AM94-AI94)</x:f>
        <x:v>16</x:v>
      </x:c>
    </x:row>
    <x:row r="95">
      <x:c r="A95" t="str">
        <x:v>2A025</x:v>
      </x:c>
      <x:c r="B95" t="str">
        <x:v>NICOLAS MORAES DA SILV</x:v>
      </x:c>
      <x:c r="C95" t="str">
        <x:v>2º ano</x:v>
      </x:c>
      <x:c r="D95" t="str">
        <x:v>referencia</x:v>
      </x:c>
      <x:c r="E95" t="str">
        <x:v>Adequado</x:v>
      </x:c>
      <x:c r="F95" t="str">
        <x:v>Sim</x:v>
      </x:c>
      <x:c r="G95" t="str">
        <x:v>CAEd_DadosExportados (1).zip</x:v>
      </x:c>
      <x:c r="H95" t="str">
        <x:v>HABILIDADES_DESEMPENHO_ESTUDANTE 30-07-2026 9-18-48.csv</x:v>
      </x:c>
      <x:c r="I95" t="n">
        <x:v>2</x:v>
      </x:c>
      <x:c r="J95" t="n">
        <x:v>2</x:v>
      </x:c>
      <x:c r="K95" t="n">
        <x:v>2</x:v>
      </x:c>
      <x:c r="L95" t="n">
        <x:v>2</x:v>
      </x:c>
      <x:c r="M95" t="n">
        <x:v>2</x:v>
      </x:c>
      <x:c r="N95" t="n">
        <x:v>2</x:v>
      </x:c>
      <x:c r="O95" t="n">
        <x:v>2</x:v>
      </x:c>
      <x:c r="P95" t="n">
        <x:v>2</x:v>
      </x:c>
      <x:c r="Q95" t="n">
        <x:v>1</x:v>
      </x:c>
      <x:c r="R95" t="n">
        <x:v>1</x:v>
      </x:c>
      <x:c r="S95" t="n">
        <x:v>2</x:v>
      </x:c>
      <x:c r="T95" t="n">
        <x:v>2</x:v>
      </x:c>
      <x:c r="U95" t="n">
        <x:v>2</x:v>
      </x:c>
      <x:c r="V95" t="n">
        <x:v>2</x:v>
      </x:c>
      <x:c r="W95" t="n">
        <x:v>2</x:v>
      </x:c>
      <x:c r="X95" t="n">
        <x:v>2</x:v>
      </x:c>
      <x:c r="Y95" t="n">
        <x:v>2</x:v>
      </x:c>
      <x:c r="Z95" t="n">
        <x:v>2</x:v>
      </x:c>
      <x:c r="AA95" t="n">
        <x:v>1</x:v>
      </x:c>
      <x:c r="AB95" t="n">
        <x:v>1</x:v>
      </x:c>
      <x:c r="AC95" t="n">
        <x:v>2</x:v>
      </x:c>
      <x:c r="AD95" t="n">
        <x:v>2</x:v>
      </x:c>
      <x:c r="AE95" t="n">
        <x:v>1</x:v>
      </x:c>
      <x:c r="AF95" t="n">
        <x:v>1</x:v>
      </x:c>
      <x:c r="AG95" t="n">
        <x:v>1</x:v>
      </x:c>
      <x:c r="AH95" t="n">
        <x:v>1</x:v>
      </x:c>
      <x:c r="AI95" t="n">
        <x:f>SUM(I95,K95,M95,O95,Q95,S95,U95,W95,Y95,AA95,AC95,AE95,AG95)</x:f>
        <x:v>22</x:v>
      </x:c>
      <x:c r="AJ95" t="n">
        <x:f>SUM(J95,L95,N95,P95,R95,T95,V95,X95,Z95,AB95,AD95,AF95,AH95)</x:f>
        <x:v>22</x:v>
      </x:c>
      <x:c r="AK95" s="2" t="n">
        <x:f>IFERROR(AI95/AJ95,0)</x:f>
        <x:v>1</x:v>
      </x:c>
      <x:c r="AL95" t="n">
        <x:f>IF(E95="Adequado",1,0)</x:f>
        <x:v>1</x:v>
      </x:c>
      <x:c r="AM95" t="n">
        <x:f>IF(C95="1º ano",IF(D95="referencia",Parametros!$B$4,Parametros!$B$5),IF(D95="referencia",Parametros!$B$6,Parametros!$B$7))</x:f>
        <x:v>16</x:v>
      </x:c>
      <x:c r="AN95" t="n">
        <x:f>MAX(0,AM95-AI95)</x:f>
        <x:v>0</x:v>
      </x:c>
    </x:row>
    <x:row r="96">
      <x:c r="A96" t="str">
        <x:v>2A025</x:v>
      </x:c>
      <x:c r="B96" t="str">
        <x:v>NICOLAS MORAES DA SILV</x:v>
      </x:c>
      <x:c r="C96" t="str">
        <x:v>2º ano</x:v>
      </x:c>
      <x:c r="D96" t="str">
        <x:v>contraprova</x:v>
      </x:c>
      <x:c r="E96" t="str">
        <x:v>Adequado</x:v>
      </x:c>
      <x:c r="F96" t="str">
        <x:v>Sim</x:v>
      </x:c>
      <x:c r="G96" t="str">
        <x:v>CAEd_DadosExportados (2).zip</x:v>
      </x:c>
      <x:c r="H96" t="str">
        <x:v>HABILIDADES_DESEMPENHO_ESTUDANTE 30-07-2026 9-19-16.csv</x:v>
      </x:c>
      <x:c r="I96" t="n">
        <x:v>1</x:v>
      </x:c>
      <x:c r="J96" t="n">
        <x:v>2</x:v>
      </x:c>
      <x:c r="K96" t="n">
        <x:v>2</x:v>
      </x:c>
      <x:c r="L96" t="n">
        <x:v>2</x:v>
      </x:c>
      <x:c r="M96" t="n">
        <x:v>2</x:v>
      </x:c>
      <x:c r="N96" t="n">
        <x:v>2</x:v>
      </x:c>
      <x:c r="O96" t="n">
        <x:v>2</x:v>
      </x:c>
      <x:c r="P96" t="n">
        <x:v>2</x:v>
      </x:c>
      <x:c r="Q96" t="n">
        <x:v>2</x:v>
      </x:c>
      <x:c r="R96" t="n">
        <x:v>2</x:v>
      </x:c>
      <x:c r="S96" t="n">
        <x:v>2</x:v>
      </x:c>
      <x:c r="T96" t="n">
        <x:v>2</x:v>
      </x:c>
      <x:c r="U96" t="n">
        <x:v>1</x:v>
      </x:c>
      <x:c r="V96" t="n">
        <x:v>2</x:v>
      </x:c>
      <x:c r="W96" t="n">
        <x:v>1</x:v>
      </x:c>
      <x:c r="X96" t="n">
        <x:v>2</x:v>
      </x:c>
      <x:c r="Y96" t="n">
        <x:v>2</x:v>
      </x:c>
      <x:c r="Z96" t="n">
        <x:v>2</x:v>
      </x:c>
      <x:c r="AA96" t="n">
        <x:v>2</x:v>
      </x:c>
      <x:c r="AB96" t="n">
        <x:v>2</x:v>
      </x:c>
      <x:c r="AC96" t="n">
        <x:v>2</x:v>
      </x:c>
      <x:c r="AD96" t="n">
        <x:v>2</x:v>
      </x:c>
      <x:c r="AE96"/>
      <x:c r="AF96"/>
      <x:c r="AG96"/>
      <x:c r="AH96"/>
      <x:c r="AI96" t="n">
        <x:f>SUM(I96,K96,M96,O96,Q96,S96,U96,W96,Y96,AA96,AC96,AE96,AG96)</x:f>
        <x:v>19</x:v>
      </x:c>
      <x:c r="AJ96" t="n">
        <x:f>SUM(J96,L96,N96,P96,R96,T96,V96,X96,Z96,AB96,AD96,AF96,AH96)</x:f>
        <x:v>22</x:v>
      </x:c>
      <x:c r="AK96" s="2" t="n">
        <x:f>IFERROR(AI96/AJ96,0)</x:f>
        <x:v>0.8636363636363636</x:v>
      </x:c>
      <x:c r="AL96" t="n">
        <x:f>IF(E96="Adequado",1,0)</x:f>
        <x:v>1</x:v>
      </x:c>
      <x:c r="AM96" t="n">
        <x:f>IF(C96="1º ano",IF(D96="referencia",Parametros!$B$4,Parametros!$B$5),IF(D96="referencia",Parametros!$B$6,Parametros!$B$7))</x:f>
        <x:v>16</x:v>
      </x:c>
      <x:c r="AN96" t="n">
        <x:f>MAX(0,AM96-AI96)</x:f>
        <x:v>0</x:v>
      </x:c>
    </x:row>
    <x:row r="97">
      <x:c r="A97" t="str">
        <x:v>2A026</x:v>
      </x:c>
      <x:c r="B97" t="str">
        <x:v>PEDRO HENRIQUE LEITE DE SOUSA</x:v>
      </x:c>
      <x:c r="C97" t="str">
        <x:v>2º ano</x:v>
      </x:c>
      <x:c r="D97" t="str">
        <x:v>referencia</x:v>
      </x:c>
      <x:c r="E97" t="str">
        <x:v>Adequado</x:v>
      </x:c>
      <x:c r="F97" t="str">
        <x:v>Sim</x:v>
      </x:c>
      <x:c r="G97" t="str">
        <x:v>CAEd_DadosExportados (1).zip</x:v>
      </x:c>
      <x:c r="H97" t="str">
        <x:v>HABILIDADES_DESEMPENHO_ESTUDANTE 30-07-2026 9-18-48.csv</x:v>
      </x:c>
      <x:c r="I97" t="n">
        <x:v>1</x:v>
      </x:c>
      <x:c r="J97" t="n">
        <x:v>2</x:v>
      </x:c>
      <x:c r="K97" t="n">
        <x:v>2</x:v>
      </x:c>
      <x:c r="L97" t="n">
        <x:v>2</x:v>
      </x:c>
      <x:c r="M97" t="n">
        <x:v>2</x:v>
      </x:c>
      <x:c r="N97" t="n">
        <x:v>2</x:v>
      </x:c>
      <x:c r="O97" t="n">
        <x:v>2</x:v>
      </x:c>
      <x:c r="P97" t="n">
        <x:v>2</x:v>
      </x:c>
      <x:c r="Q97" t="n">
        <x:v>1</x:v>
      </x:c>
      <x:c r="R97" t="n">
        <x:v>1</x:v>
      </x:c>
      <x:c r="S97" t="n">
        <x:v>2</x:v>
      </x:c>
      <x:c r="T97" t="n">
        <x:v>2</x:v>
      </x:c>
      <x:c r="U97" t="n">
        <x:v>2</x:v>
      </x:c>
      <x:c r="V97" t="n">
        <x:v>2</x:v>
      </x:c>
      <x:c r="W97" t="n">
        <x:v>2</x:v>
      </x:c>
      <x:c r="X97" t="n">
        <x:v>2</x:v>
      </x:c>
      <x:c r="Y97" t="n">
        <x:v>2</x:v>
      </x:c>
      <x:c r="Z97" t="n">
        <x:v>2</x:v>
      </x:c>
      <x:c r="AA97" t="n">
        <x:v>1</x:v>
      </x:c>
      <x:c r="AB97" t="n">
        <x:v>1</x:v>
      </x:c>
      <x:c r="AC97" t="n">
        <x:v>2</x:v>
      </x:c>
      <x:c r="AD97" t="n">
        <x:v>2</x:v>
      </x:c>
      <x:c r="AE97" t="n">
        <x:v>1</x:v>
      </x:c>
      <x:c r="AF97" t="n">
        <x:v>1</x:v>
      </x:c>
      <x:c r="AG97" t="n">
        <x:v>1</x:v>
      </x:c>
      <x:c r="AH97" t="n">
        <x:v>1</x:v>
      </x:c>
      <x:c r="AI97" t="n">
        <x:f>SUM(I97,K97,M97,O97,Q97,S97,U97,W97,Y97,AA97,AC97,AE97,AG97)</x:f>
        <x:v>21</x:v>
      </x:c>
      <x:c r="AJ97" t="n">
        <x:f>SUM(J97,L97,N97,P97,R97,T97,V97,X97,Z97,AB97,AD97,AF97,AH97)</x:f>
        <x:v>22</x:v>
      </x:c>
      <x:c r="AK97" s="2" t="n">
        <x:f>IFERROR(AI97/AJ97,0)</x:f>
        <x:v>0.9545454545454546</x:v>
      </x:c>
      <x:c r="AL97" t="n">
        <x:f>IF(E97="Adequado",1,0)</x:f>
        <x:v>1</x:v>
      </x:c>
      <x:c r="AM97" t="n">
        <x:f>IF(C97="1º ano",IF(D97="referencia",Parametros!$B$4,Parametros!$B$5),IF(D97="referencia",Parametros!$B$6,Parametros!$B$7))</x:f>
        <x:v>16</x:v>
      </x:c>
      <x:c r="AN97" t="n">
        <x:f>MAX(0,AM97-AI97)</x:f>
        <x:v>0</x:v>
      </x:c>
    </x:row>
    <x:row r="98">
      <x:c r="A98" t="str">
        <x:v>2A026</x:v>
      </x:c>
      <x:c r="B98" t="str">
        <x:v>PEDRO HENRIQUE LEITE DE SOUSA</x:v>
      </x:c>
      <x:c r="C98" t="str">
        <x:v>2º ano</x:v>
      </x:c>
      <x:c r="D98" t="str">
        <x:v>contraprova</x:v>
      </x:c>
      <x:c r="E98" t="str">
        <x:v>Intermediário</x:v>
      </x:c>
      <x:c r="F98" t="str">
        <x:v>Sim</x:v>
      </x:c>
      <x:c r="G98" t="str">
        <x:v>CAEd_DadosExportados (2).zip</x:v>
      </x:c>
      <x:c r="H98" t="str">
        <x:v>HABILIDADES_DESEMPENHO_ESTUDANTE 30-07-2026 9-19-16.csv</x:v>
      </x:c>
      <x:c r="I98" t="n">
        <x:v>0</x:v>
      </x:c>
      <x:c r="J98" t="n">
        <x:v>2</x:v>
      </x:c>
      <x:c r="K98" t="n">
        <x:v>2</x:v>
      </x:c>
      <x:c r="L98" t="n">
        <x:v>2</x:v>
      </x:c>
      <x:c r="M98" t="n">
        <x:v>2</x:v>
      </x:c>
      <x:c r="N98" t="n">
        <x:v>2</x:v>
      </x:c>
      <x:c r="O98" t="n">
        <x:v>2</x:v>
      </x:c>
      <x:c r="P98" t="n">
        <x:v>2</x:v>
      </x:c>
      <x:c r="Q98" t="n">
        <x:v>2</x:v>
      </x:c>
      <x:c r="R98" t="n">
        <x:v>2</x:v>
      </x:c>
      <x:c r="S98" t="n">
        <x:v>2</x:v>
      </x:c>
      <x:c r="T98" t="n">
        <x:v>2</x:v>
      </x:c>
      <x:c r="U98" t="n">
        <x:v>0</x:v>
      </x:c>
      <x:c r="V98" t="n">
        <x:v>2</x:v>
      </x:c>
      <x:c r="W98" t="n">
        <x:v>0</x:v>
      </x:c>
      <x:c r="X98" t="n">
        <x:v>2</x:v>
      </x:c>
      <x:c r="Y98" t="n">
        <x:v>2</x:v>
      </x:c>
      <x:c r="Z98" t="n">
        <x:v>2</x:v>
      </x:c>
      <x:c r="AA98" t="n">
        <x:v>2</x:v>
      </x:c>
      <x:c r="AB98" t="n">
        <x:v>2</x:v>
      </x:c>
      <x:c r="AC98" t="n">
        <x:v>1</x:v>
      </x:c>
      <x:c r="AD98" t="n">
        <x:v>2</x:v>
      </x:c>
      <x:c r="AE98"/>
      <x:c r="AF98"/>
      <x:c r="AG98"/>
      <x:c r="AH98"/>
      <x:c r="AI98" t="n">
        <x:f>SUM(I98,K98,M98,O98,Q98,S98,U98,W98,Y98,AA98,AC98,AE98,AG98)</x:f>
        <x:v>15</x:v>
      </x:c>
      <x:c r="AJ98" t="n">
        <x:f>SUM(J98,L98,N98,P98,R98,T98,V98,X98,Z98,AB98,AD98,AF98,AH98)</x:f>
        <x:v>22</x:v>
      </x:c>
      <x:c r="AK98" s="2" t="n">
        <x:f>IFERROR(AI98/AJ98,0)</x:f>
        <x:v>0.6818181818181818</x:v>
      </x:c>
      <x:c r="AL98" t="n">
        <x:f>IF(E98="Adequado",1,0)</x:f>
        <x:v>0</x:v>
      </x:c>
      <x:c r="AM98" t="n">
        <x:f>IF(C98="1º ano",IF(D98="referencia",Parametros!$B$4,Parametros!$B$5),IF(D98="referencia",Parametros!$B$6,Parametros!$B$7))</x:f>
        <x:v>16</x:v>
      </x:c>
      <x:c r="AN98" t="n">
        <x:f>MAX(0,AM98-AI98)</x:f>
        <x:v>1</x:v>
      </x:c>
    </x:row>
    <x:row r="99">
      <x:c r="A99" t="str">
        <x:v>2A027</x:v>
      </x:c>
      <x:c r="B99" t="str">
        <x:v>PEDRO LUAN COSTA VAL</x:v>
      </x:c>
      <x:c r="C99" t="str">
        <x:v>2º ano</x:v>
      </x:c>
      <x:c r="D99" t="str">
        <x:v>referencia</x:v>
      </x:c>
      <x:c r="E99" t="str">
        <x:v>Adequado</x:v>
      </x:c>
      <x:c r="F99" t="str">
        <x:v>Sim</x:v>
      </x:c>
      <x:c r="G99" t="str">
        <x:v>CAEd_DadosExportados (1).zip</x:v>
      </x:c>
      <x:c r="H99" t="str">
        <x:v>HABILIDADES_DESEMPENHO_ESTUDANTE 30-07-2026 9-18-48.csv</x:v>
      </x:c>
      <x:c r="I99" t="n">
        <x:v>2</x:v>
      </x:c>
      <x:c r="J99" t="n">
        <x:v>2</x:v>
      </x:c>
      <x:c r="K99" t="n">
        <x:v>2</x:v>
      </x:c>
      <x:c r="L99" t="n">
        <x:v>2</x:v>
      </x:c>
      <x:c r="M99" t="n">
        <x:v>2</x:v>
      </x:c>
      <x:c r="N99" t="n">
        <x:v>2</x:v>
      </x:c>
      <x:c r="O99" t="n">
        <x:v>2</x:v>
      </x:c>
      <x:c r="P99" t="n">
        <x:v>2</x:v>
      </x:c>
      <x:c r="Q99" t="n">
        <x:v>1</x:v>
      </x:c>
      <x:c r="R99" t="n">
        <x:v>1</x:v>
      </x:c>
      <x:c r="S99" t="n">
        <x:v>1</x:v>
      </x:c>
      <x:c r="T99" t="n">
        <x:v>2</x:v>
      </x:c>
      <x:c r="U99" t="n">
        <x:v>2</x:v>
      </x:c>
      <x:c r="V99" t="n">
        <x:v>2</x:v>
      </x:c>
      <x:c r="W99" t="n">
        <x:v>2</x:v>
      </x:c>
      <x:c r="X99" t="n">
        <x:v>2</x:v>
      </x:c>
      <x:c r="Y99" t="n">
        <x:v>2</x:v>
      </x:c>
      <x:c r="Z99" t="n">
        <x:v>2</x:v>
      </x:c>
      <x:c r="AA99" t="n">
        <x:v>1</x:v>
      </x:c>
      <x:c r="AB99" t="n">
        <x:v>1</x:v>
      </x:c>
      <x:c r="AC99" t="n">
        <x:v>1</x:v>
      </x:c>
      <x:c r="AD99" t="n">
        <x:v>2</x:v>
      </x:c>
      <x:c r="AE99" t="n">
        <x:v>1</x:v>
      </x:c>
      <x:c r="AF99" t="n">
        <x:v>1</x:v>
      </x:c>
      <x:c r="AG99" t="n">
        <x:v>0</x:v>
      </x:c>
      <x:c r="AH99" t="n">
        <x:v>1</x:v>
      </x:c>
      <x:c r="AI99" t="n">
        <x:f>SUM(I99,K99,M99,O99,Q99,S99,U99,W99,Y99,AA99,AC99,AE99,AG99)</x:f>
        <x:v>19</x:v>
      </x:c>
      <x:c r="AJ99" t="n">
        <x:f>SUM(J99,L99,N99,P99,R99,T99,V99,X99,Z99,AB99,AD99,AF99,AH99)</x:f>
        <x:v>22</x:v>
      </x:c>
      <x:c r="AK99" s="2" t="n">
        <x:f>IFERROR(AI99/AJ99,0)</x:f>
        <x:v>0.8636363636363636</x:v>
      </x:c>
      <x:c r="AL99" t="n">
        <x:f>IF(E99="Adequado",1,0)</x:f>
        <x:v>1</x:v>
      </x:c>
      <x:c r="AM99" t="n">
        <x:f>IF(C99="1º ano",IF(D99="referencia",Parametros!$B$4,Parametros!$B$5),IF(D99="referencia",Parametros!$B$6,Parametros!$B$7))</x:f>
        <x:v>16</x:v>
      </x:c>
      <x:c r="AN99" t="n">
        <x:f>MAX(0,AM99-AI99)</x:f>
        <x:v>0</x:v>
      </x:c>
    </x:row>
    <x:row r="100">
      <x:c r="A100" t="str">
        <x:v>2A027</x:v>
      </x:c>
      <x:c r="B100" t="str">
        <x:v>PEDRO LUAN COSTA VAL</x:v>
      </x:c>
      <x:c r="C100" t="str">
        <x:v>2º ano</x:v>
      </x:c>
      <x:c r="D100" t="str">
        <x:v>contraprova</x:v>
      </x:c>
      <x:c r="E100" t="str">
        <x:v>Adequado</x:v>
      </x:c>
      <x:c r="F100" t="str">
        <x:v>Sim</x:v>
      </x:c>
      <x:c r="G100" t="str">
        <x:v>CAEd_DadosExportados (2).zip</x:v>
      </x:c>
      <x:c r="H100" t="str">
        <x:v>HABILIDADES_DESEMPENHO_ESTUDANTE 30-07-2026 9-19-16.csv</x:v>
      </x:c>
      <x:c r="I100" t="n">
        <x:v>2</x:v>
      </x:c>
      <x:c r="J100" t="n">
        <x:v>2</x:v>
      </x:c>
      <x:c r="K100" t="n">
        <x:v>2</x:v>
      </x:c>
      <x:c r="L100" t="n">
        <x:v>2</x:v>
      </x:c>
      <x:c r="M100" t="n">
        <x:v>2</x:v>
      </x:c>
      <x:c r="N100" t="n">
        <x:v>2</x:v>
      </x:c>
      <x:c r="O100" t="n">
        <x:v>2</x:v>
      </x:c>
      <x:c r="P100" t="n">
        <x:v>2</x:v>
      </x:c>
      <x:c r="Q100" t="n">
        <x:v>2</x:v>
      </x:c>
      <x:c r="R100" t="n">
        <x:v>2</x:v>
      </x:c>
      <x:c r="S100" t="n">
        <x:v>2</x:v>
      </x:c>
      <x:c r="T100" t="n">
        <x:v>2</x:v>
      </x:c>
      <x:c r="U100" t="n">
        <x:v>0</x:v>
      </x:c>
      <x:c r="V100" t="n">
        <x:v>2</x:v>
      </x:c>
      <x:c r="W100" t="n">
        <x:v>1</x:v>
      </x:c>
      <x:c r="X100" t="n">
        <x:v>2</x:v>
      </x:c>
      <x:c r="Y100" t="n">
        <x:v>2</x:v>
      </x:c>
      <x:c r="Z100" t="n">
        <x:v>2</x:v>
      </x:c>
      <x:c r="AA100" t="n">
        <x:v>2</x:v>
      </x:c>
      <x:c r="AB100" t="n">
        <x:v>2</x:v>
      </x:c>
      <x:c r="AC100" t="n">
        <x:v>2</x:v>
      </x:c>
      <x:c r="AD100" t="n">
        <x:v>2</x:v>
      </x:c>
      <x:c r="AE100"/>
      <x:c r="AF100"/>
      <x:c r="AG100"/>
      <x:c r="AH100"/>
      <x:c r="AI100" t="n">
        <x:f>SUM(I100,K100,M100,O100,Q100,S100,U100,W100,Y100,AA100,AC100,AE100,AG100)</x:f>
        <x:v>19</x:v>
      </x:c>
      <x:c r="AJ100" t="n">
        <x:f>SUM(J100,L100,N100,P100,R100,T100,V100,X100,Z100,AB100,AD100,AF100,AH100)</x:f>
        <x:v>22</x:v>
      </x:c>
      <x:c r="AK100" s="2" t="n">
        <x:f>IFERROR(AI100/AJ100,0)</x:f>
        <x:v>0.8636363636363636</x:v>
      </x:c>
      <x:c r="AL100" t="n">
        <x:f>IF(E100="Adequado",1,0)</x:f>
        <x:v>1</x:v>
      </x:c>
      <x:c r="AM100" t="n">
        <x:f>IF(C100="1º ano",IF(D100="referencia",Parametros!$B$4,Parametros!$B$5),IF(D100="referencia",Parametros!$B$6,Parametros!$B$7))</x:f>
        <x:v>16</x:v>
      </x:c>
      <x:c r="AN100" t="n">
        <x:f>MAX(0,AM100-AI100)</x:f>
        <x:v>0</x:v>
      </x:c>
    </x:row>
    <x:row r="101">
      <x:c r="A101" t="str">
        <x:v>2A028</x:v>
      </x:c>
      <x:c r="B101" t="str">
        <x:v>SARA MELINDA TAVARES DE CASTRO</x:v>
      </x:c>
      <x:c r="C101" t="str">
        <x:v>2º ano</x:v>
      </x:c>
      <x:c r="D101" t="str">
        <x:v>referencia</x:v>
      </x:c>
      <x:c r="E101" t="str">
        <x:v>Adequado</x:v>
      </x:c>
      <x:c r="F101" t="str">
        <x:v>Sim</x:v>
      </x:c>
      <x:c r="G101" t="str">
        <x:v>CAEd_DadosExportados (1).zip</x:v>
      </x:c>
      <x:c r="H101" t="str">
        <x:v>HABILIDADES_DESEMPENHO_ESTUDANTE 30-07-2026 9-18-48.csv</x:v>
      </x:c>
      <x:c r="I101" t="n">
        <x:v>2</x:v>
      </x:c>
      <x:c r="J101" t="n">
        <x:v>2</x:v>
      </x:c>
      <x:c r="K101" t="n">
        <x:v>2</x:v>
      </x:c>
      <x:c r="L101" t="n">
        <x:v>2</x:v>
      </x:c>
      <x:c r="M101" t="n">
        <x:v>2</x:v>
      </x:c>
      <x:c r="N101" t="n">
        <x:v>2</x:v>
      </x:c>
      <x:c r="O101" t="n">
        <x:v>2</x:v>
      </x:c>
      <x:c r="P101" t="n">
        <x:v>2</x:v>
      </x:c>
      <x:c r="Q101" t="n">
        <x:v>1</x:v>
      </x:c>
      <x:c r="R101" t="n">
        <x:v>1</x:v>
      </x:c>
      <x:c r="S101" t="n">
        <x:v>1</x:v>
      </x:c>
      <x:c r="T101" t="n">
        <x:v>2</x:v>
      </x:c>
      <x:c r="U101" t="n">
        <x:v>1</x:v>
      </x:c>
      <x:c r="V101" t="n">
        <x:v>2</x:v>
      </x:c>
      <x:c r="W101" t="n">
        <x:v>2</x:v>
      </x:c>
      <x:c r="X101" t="n">
        <x:v>2</x:v>
      </x:c>
      <x:c r="Y101" t="n">
        <x:v>2</x:v>
      </x:c>
      <x:c r="Z101" t="n">
        <x:v>2</x:v>
      </x:c>
      <x:c r="AA101" t="n">
        <x:v>1</x:v>
      </x:c>
      <x:c r="AB101" t="n">
        <x:v>1</x:v>
      </x:c>
      <x:c r="AC101" t="n">
        <x:v>2</x:v>
      </x:c>
      <x:c r="AD101" t="n">
        <x:v>2</x:v>
      </x:c>
      <x:c r="AE101" t="n">
        <x:v>1</x:v>
      </x:c>
      <x:c r="AF101" t="n">
        <x:v>1</x:v>
      </x:c>
      <x:c r="AG101" t="n">
        <x:v>1</x:v>
      </x:c>
      <x:c r="AH101" t="n">
        <x:v>1</x:v>
      </x:c>
      <x:c r="AI101" t="n">
        <x:f>SUM(I101,K101,M101,O101,Q101,S101,U101,W101,Y101,AA101,AC101,AE101,AG101)</x:f>
        <x:v>20</x:v>
      </x:c>
      <x:c r="AJ101" t="n">
        <x:f>SUM(J101,L101,N101,P101,R101,T101,V101,X101,Z101,AB101,AD101,AF101,AH101)</x:f>
        <x:v>22</x:v>
      </x:c>
      <x:c r="AK101" s="2" t="n">
        <x:f>IFERROR(AI101/AJ101,0)</x:f>
        <x:v>0.9090909090909091</x:v>
      </x:c>
      <x:c r="AL101" t="n">
        <x:f>IF(E101="Adequado",1,0)</x:f>
        <x:v>1</x:v>
      </x:c>
      <x:c r="AM101" t="n">
        <x:f>IF(C101="1º ano",IF(D101="referencia",Parametros!$B$4,Parametros!$B$5),IF(D101="referencia",Parametros!$B$6,Parametros!$B$7))</x:f>
        <x:v>16</x:v>
      </x:c>
      <x:c r="AN101" t="n">
        <x:f>MAX(0,AM101-AI101)</x:f>
        <x:v>0</x:v>
      </x:c>
    </x:row>
    <x:row r="102">
      <x:c r="A102" t="str">
        <x:v>2A028</x:v>
      </x:c>
      <x:c r="B102" t="str">
        <x:v>SARA MELINDA TAVARES DE CASTRO</x:v>
      </x:c>
      <x:c r="C102" t="str">
        <x:v>2º ano</x:v>
      </x:c>
      <x:c r="D102" t="str">
        <x:v>contraprova</x:v>
      </x:c>
      <x:c r="E102" t="str">
        <x:v>Adequado</x:v>
      </x:c>
      <x:c r="F102" t="str">
        <x:v>Sim</x:v>
      </x:c>
      <x:c r="G102" t="str">
        <x:v>CAEd_DadosExportados (2).zip</x:v>
      </x:c>
      <x:c r="H102" t="str">
        <x:v>HABILIDADES_DESEMPENHO_ESTUDANTE 30-07-2026 9-19-16.csv</x:v>
      </x:c>
      <x:c r="I102" t="n">
        <x:v>0</x:v>
      </x:c>
      <x:c r="J102" t="n">
        <x:v>2</x:v>
      </x:c>
      <x:c r="K102" t="n">
        <x:v>1</x:v>
      </x:c>
      <x:c r="L102" t="n">
        <x:v>2</x:v>
      </x:c>
      <x:c r="M102" t="n">
        <x:v>2</x:v>
      </x:c>
      <x:c r="N102" t="n">
        <x:v>2</x:v>
      </x:c>
      <x:c r="O102" t="n">
        <x:v>1</x:v>
      </x:c>
      <x:c r="P102" t="n">
        <x:v>2</x:v>
      </x:c>
      <x:c r="Q102" t="n">
        <x:v>2</x:v>
      </x:c>
      <x:c r="R102" t="n">
        <x:v>2</x:v>
      </x:c>
      <x:c r="S102" t="n">
        <x:v>2</x:v>
      </x:c>
      <x:c r="T102" t="n">
        <x:v>2</x:v>
      </x:c>
      <x:c r="U102" t="n">
        <x:v>2</x:v>
      </x:c>
      <x:c r="V102" t="n">
        <x:v>2</x:v>
      </x:c>
      <x:c r="W102" t="n">
        <x:v>2</x:v>
      </x:c>
      <x:c r="X102" t="n">
        <x:v>2</x:v>
      </x:c>
      <x:c r="Y102" t="n">
        <x:v>2</x:v>
      </x:c>
      <x:c r="Z102" t="n">
        <x:v>2</x:v>
      </x:c>
      <x:c r="AA102" t="n">
        <x:v>2</x:v>
      </x:c>
      <x:c r="AB102" t="n">
        <x:v>2</x:v>
      </x:c>
      <x:c r="AC102" t="n">
        <x:v>2</x:v>
      </x:c>
      <x:c r="AD102" t="n">
        <x:v>2</x:v>
      </x:c>
      <x:c r="AE102"/>
      <x:c r="AF102"/>
      <x:c r="AG102"/>
      <x:c r="AH102"/>
      <x:c r="AI102" t="n">
        <x:f>SUM(I102,K102,M102,O102,Q102,S102,U102,W102,Y102,AA102,AC102,AE102,AG102)</x:f>
        <x:v>18</x:v>
      </x:c>
      <x:c r="AJ102" t="n">
        <x:f>SUM(J102,L102,N102,P102,R102,T102,V102,X102,Z102,AB102,AD102,AF102,AH102)</x:f>
        <x:v>22</x:v>
      </x:c>
      <x:c r="AK102" s="2" t="n">
        <x:f>IFERROR(AI102/AJ102,0)</x:f>
        <x:v>0.8181818181818182</x:v>
      </x:c>
      <x:c r="AL102" t="n">
        <x:f>IF(E102="Adequado",1,0)</x:f>
        <x:v>1</x:v>
      </x:c>
      <x:c r="AM102" t="n">
        <x:f>IF(C102="1º ano",IF(D102="referencia",Parametros!$B$4,Parametros!$B$5),IF(D102="referencia",Parametros!$B$6,Parametros!$B$7))</x:f>
        <x:v>16</x:v>
      </x:c>
      <x:c r="AN102" t="n">
        <x:f>MAX(0,AM102-AI102)</x:f>
        <x:v>0</x:v>
      </x:c>
    </x:row>
    <x:row r="103">
      <x:c r="A103" t="str">
        <x:v>2A029</x:v>
      </x:c>
      <x:c r="B103" t="str">
        <x:v>THEO MANOEL RODRIGUES RIBEIRO</x:v>
      </x:c>
      <x:c r="C103" t="str">
        <x:v>2º ano</x:v>
      </x:c>
      <x:c r="D103" t="str">
        <x:v>contraprova</x:v>
      </x:c>
      <x:c r="E103" t="str">
        <x:v>Defasagem</x:v>
      </x:c>
      <x:c r="F103" t="str">
        <x:v>Sim</x:v>
      </x:c>
      <x:c r="G103" t="str">
        <x:v>CAEd_DadosExportados (2).zip</x:v>
      </x:c>
      <x:c r="H103" t="str">
        <x:v>HABILIDADES_DESEMPENHO_ESTUDANTE 30-07-2026 9-19-16.csv</x:v>
      </x:c>
      <x:c r="I103" t="n">
        <x:v>0</x:v>
      </x:c>
      <x:c r="J103" t="n">
        <x:v>2</x:v>
      </x:c>
      <x:c r="K103" t="n">
        <x:v>0</x:v>
      </x:c>
      <x:c r="L103" t="n">
        <x:v>2</x:v>
      </x:c>
      <x:c r="M103" t="n">
        <x:v>0</x:v>
      </x:c>
      <x:c r="N103" t="n">
        <x:v>2</x:v>
      </x:c>
      <x:c r="O103" t="n">
        <x:v>0</x:v>
      </x:c>
      <x:c r="P103" t="n">
        <x:v>2</x:v>
      </x:c>
      <x:c r="Q103" t="n">
        <x:v>0</x:v>
      </x:c>
      <x:c r="R103" t="n">
        <x:v>2</x:v>
      </x:c>
      <x:c r="S103" t="n">
        <x:v>0</x:v>
      </x:c>
      <x:c r="T103" t="n">
        <x:v>2</x:v>
      </x:c>
      <x:c r="U103" t="n">
        <x:v>0</x:v>
      </x:c>
      <x:c r="V103" t="n">
        <x:v>2</x:v>
      </x:c>
      <x:c r="W103" t="n">
        <x:v>0</x:v>
      </x:c>
      <x:c r="X103" t="n">
        <x:v>2</x:v>
      </x:c>
      <x:c r="Y103" t="n">
        <x:v>0</x:v>
      </x:c>
      <x:c r="Z103" t="n">
        <x:v>2</x:v>
      </x:c>
      <x:c r="AA103" t="n">
        <x:v>0</x:v>
      </x:c>
      <x:c r="AB103" t="n">
        <x:v>2</x:v>
      </x:c>
      <x:c r="AC103" t="n">
        <x:v>0</x:v>
      </x:c>
      <x:c r="AD103" t="n">
        <x:v>2</x:v>
      </x:c>
      <x:c r="AE103"/>
      <x:c r="AF103"/>
      <x:c r="AG103"/>
      <x:c r="AH103"/>
      <x:c r="AI103" t="n">
        <x:f>SUM(I103,K103,M103,O103,Q103,S103,U103,W103,Y103,AA103,AC103,AE103,AG103)</x:f>
        <x:v>0</x:v>
      </x:c>
      <x:c r="AJ103" t="n">
        <x:f>SUM(J103,L103,N103,P103,R103,T103,V103,X103,Z103,AB103,AD103,AF103,AH103)</x:f>
        <x:v>22</x:v>
      </x:c>
      <x:c r="AK103" s="2" t="n">
        <x:f>IFERROR(AI103/AJ103,0)</x:f>
        <x:v>0</x:v>
      </x:c>
      <x:c r="AL103" t="n">
        <x:f>IF(E103="Adequado",1,0)</x:f>
        <x:v>0</x:v>
      </x:c>
      <x:c r="AM103" t="n">
        <x:f>IF(C103="1º ano",IF(D103="referencia",Parametros!$B$4,Parametros!$B$5),IF(D103="referencia",Parametros!$B$6,Parametros!$B$7))</x:f>
        <x:v>16</x:v>
      </x:c>
      <x:c r="AN103" t="n">
        <x:f>MAX(0,AM103-AI103)</x:f>
        <x:v>16</x:v>
      </x:c>
    </x:row>
  </x:sheetData>
  <x:conditionalFormatting sqref="AN2:AN103">
    <x:cfRule type="dataBar" priority="1">
      <x:dataBar>
        <x:cfvo type="min"/>
        <x:cfvo type="max"/>
        <x:color rgb="FFDB8D29"/>
      </x:dataBar>
      <x:extLst>
        <x:ext xmlns:x14="http://schemas.microsoft.com/office/spreadsheetml/2009/9/main" uri="{B025F937-C7B1-47D3-B67F-A62EFF666E3E}">
          <x14:id>{6708BE71-7B89-C09D-AAC2-FB99BAC35BDD}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708BE71-7B89-C09D-AAC2-FB99BAC35BDD}">
            <x14:dataBar gradient="1">
              <x14:cfvo type="min"/>
              <x14:cfvo type="max"/>
              <x14:fillColor rgb="FFDB8D29"/>
            </x14:dataBar>
          </x14:cfRule>
          <xm:sqref>AN2:AN103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5" hidden="0" customWidth="1"/>
  </x:cols>
  <x:sheetData>
    <x:row r="1" ht="32" customHeight="1">
      <x:c r="A1" s="8" t="str">
        <x:v>ID</x:v>
      </x:c>
      <x:c r="B1" s="8" t="str">
        <x:v>Ano</x:v>
      </x:c>
      <x:c r="C1" s="8" t="str">
        <x:v>Aplicacao</x:v>
      </x:c>
      <x:c r="D1" s="8" t="str">
        <x:v>Habilidade</x:v>
      </x:c>
      <x:c r="E1" s="8" t="str">
        <x:v>Acertos</x:v>
      </x:c>
      <x:c r="F1" s="8" t="str">
        <x:v>Itens</x:v>
      </x:c>
      <x:c r="G1" s="8" t="str">
        <x:v>Erros_calc</x:v>
      </x:c>
      <x:c r="H1" s="8" t="str">
        <x:v>Taxa_calc</x:v>
      </x:c>
      <x:c r="I1" s="8" t="str">
        <x:v>Nivel_CAEd</x:v>
      </x:c>
      <x:c r="J1" s="8" t="str">
        <x:v>Fonte ZIP</x:v>
      </x:c>
    </x:row>
    <x:row r="2">
      <x:c r="A2" t="str">
        <x:v>1A001</x:v>
      </x:c>
      <x:c r="B2" t="str">
        <x:v>1º ano</x:v>
      </x:c>
      <x:c r="C2" t="str">
        <x:v>contraprova</x:v>
      </x:c>
      <x:c r="D2" t="str">
        <x:v>H01</x:v>
      </x:c>
      <x:c r="E2" t="n">
        <x:v>2</x:v>
      </x:c>
      <x:c r="F2" t="n">
        <x:v>2</x:v>
      </x:c>
      <x:c r="G2" t="n">
        <x:f>F2-E2</x:f>
        <x:v>0</x:v>
      </x:c>
      <x:c r="H2" s="2" t="n">
        <x:f>IFERROR(E2/F2,0)</x:f>
        <x:v>1</x:v>
      </x:c>
      <x:c r="I2" t="str">
        <x:v>Adequado</x:v>
      </x:c>
      <x:c r="J2" t="str">
        <x:v>CAEd_DadosExportados (3).zip</x:v>
      </x:c>
    </x:row>
    <x:row r="3">
      <x:c r="A3" t="str">
        <x:v>1A001</x:v>
      </x:c>
      <x:c r="B3" t="str">
        <x:v>1º ano</x:v>
      </x:c>
      <x:c r="C3" t="str">
        <x:v>contraprova</x:v>
      </x:c>
      <x:c r="D3" t="str">
        <x:v>H02</x:v>
      </x:c>
      <x:c r="E3" t="n">
        <x:v>2</x:v>
      </x:c>
      <x:c r="F3" t="n">
        <x:v>2</x:v>
      </x:c>
      <x:c r="G3" t="n">
        <x:f>F3-E3</x:f>
        <x:v>0</x:v>
      </x:c>
      <x:c r="H3" s="2" t="n">
        <x:f>IFERROR(E3/F3,0)</x:f>
        <x:v>1</x:v>
      </x:c>
      <x:c r="I3" t="str">
        <x:v>Adequado</x:v>
      </x:c>
      <x:c r="J3" t="str">
        <x:v>CAEd_DadosExportados (3).zip</x:v>
      </x:c>
    </x:row>
    <x:row r="4">
      <x:c r="A4" t="str">
        <x:v>1A001</x:v>
      </x:c>
      <x:c r="B4" t="str">
        <x:v>1º ano</x:v>
      </x:c>
      <x:c r="C4" t="str">
        <x:v>contraprova</x:v>
      </x:c>
      <x:c r="D4" t="str">
        <x:v>H03</x:v>
      </x:c>
      <x:c r="E4" t="n">
        <x:v>2</x:v>
      </x:c>
      <x:c r="F4" t="n">
        <x:v>3</x:v>
      </x:c>
      <x:c r="G4" t="n">
        <x:f>F4-E4</x:f>
        <x:v>1</x:v>
      </x:c>
      <x:c r="H4" s="2" t="n">
        <x:f>IFERROR(E4/F4,0)</x:f>
        <x:v>0.6666666666666666</x:v>
      </x:c>
      <x:c r="I4" t="str">
        <x:v>Adequado</x:v>
      </x:c>
      <x:c r="J4" t="str">
        <x:v>CAEd_DadosExportados (3).zip</x:v>
      </x:c>
    </x:row>
    <x:row r="5">
      <x:c r="A5" t="str">
        <x:v>1A001</x:v>
      </x:c>
      <x:c r="B5" t="str">
        <x:v>1º ano</x:v>
      </x:c>
      <x:c r="C5" t="str">
        <x:v>contraprova</x:v>
      </x:c>
      <x:c r="D5" t="str">
        <x:v>H04</x:v>
      </x:c>
      <x:c r="E5" t="n">
        <x:v>1</x:v>
      </x:c>
      <x:c r="F5" t="n">
        <x:v>3</x:v>
      </x:c>
      <x:c r="G5" t="n">
        <x:f>F5-E5</x:f>
        <x:v>2</x:v>
      </x:c>
      <x:c r="H5" s="2" t="n">
        <x:f>IFERROR(E5/F5,0)</x:f>
        <x:v>0.3333333333333333</x:v>
      </x:c>
      <x:c r="I5" t="str">
        <x:v>Adequado</x:v>
      </x:c>
      <x:c r="J5" t="str">
        <x:v>CAEd_DadosExportados (3).zip</x:v>
      </x:c>
    </x:row>
    <x:row r="6">
      <x:c r="A6" t="str">
        <x:v>1A001</x:v>
      </x:c>
      <x:c r="B6" t="str">
        <x:v>1º ano</x:v>
      </x:c>
      <x:c r="C6" t="str">
        <x:v>contraprova</x:v>
      </x:c>
      <x:c r="D6" t="str">
        <x:v>H05</x:v>
      </x:c>
      <x:c r="E6" t="n">
        <x:v>3</x:v>
      </x:c>
      <x:c r="F6" t="n">
        <x:v>3</x:v>
      </x:c>
      <x:c r="G6" t="n">
        <x:f>F6-E6</x:f>
        <x:v>0</x:v>
      </x:c>
      <x:c r="H6" s="2" t="n">
        <x:f>IFERROR(E6/F6,0)</x:f>
        <x:v>1</x:v>
      </x:c>
      <x:c r="I6" t="str">
        <x:v>Adequado</x:v>
      </x:c>
      <x:c r="J6" t="str">
        <x:v>CAEd_DadosExportados (3).zip</x:v>
      </x:c>
    </x:row>
    <x:row r="7">
      <x:c r="A7" t="str">
        <x:v>1A001</x:v>
      </x:c>
      <x:c r="B7" t="str">
        <x:v>1º ano</x:v>
      </x:c>
      <x:c r="C7" t="str">
        <x:v>contraprova</x:v>
      </x:c>
      <x:c r="D7" t="str">
        <x:v>H06</x:v>
      </x:c>
      <x:c r="E7" t="n">
        <x:v>3</x:v>
      </x:c>
      <x:c r="F7" t="n">
        <x:v>3</x:v>
      </x:c>
      <x:c r="G7" t="n">
        <x:f>F7-E7</x:f>
        <x:v>0</x:v>
      </x:c>
      <x:c r="H7" s="2" t="n">
        <x:f>IFERROR(E7/F7,0)</x:f>
        <x:v>1</x:v>
      </x:c>
      <x:c r="I7" t="str">
        <x:v>Adequado</x:v>
      </x:c>
      <x:c r="J7" t="str">
        <x:v>CAEd_DadosExportados (3).zip</x:v>
      </x:c>
    </x:row>
    <x:row r="8">
      <x:c r="A8" t="str">
        <x:v>1A001</x:v>
      </x:c>
      <x:c r="B8" t="str">
        <x:v>1º ano</x:v>
      </x:c>
      <x:c r="C8" t="str">
        <x:v>contraprova</x:v>
      </x:c>
      <x:c r="D8" t="str">
        <x:v>H07</x:v>
      </x:c>
      <x:c r="E8" t="n">
        <x:v>2</x:v>
      </x:c>
      <x:c r="F8" t="n">
        <x:v>2</x:v>
      </x:c>
      <x:c r="G8" t="n">
        <x:f>F8-E8</x:f>
        <x:v>0</x:v>
      </x:c>
      <x:c r="H8" s="2" t="n">
        <x:f>IFERROR(E8/F8,0)</x:f>
        <x:v>1</x:v>
      </x:c>
      <x:c r="I8" t="str">
        <x:v>Adequado</x:v>
      </x:c>
      <x:c r="J8" t="str">
        <x:v>CAEd_DadosExportados (3).zip</x:v>
      </x:c>
    </x:row>
    <x:row r="9">
      <x:c r="A9" t="str">
        <x:v>1A001</x:v>
      </x:c>
      <x:c r="B9" t="str">
        <x:v>1º ano</x:v>
      </x:c>
      <x:c r="C9" t="str">
        <x:v>contraprova</x:v>
      </x:c>
      <x:c r="D9" t="str">
        <x:v>H08</x:v>
      </x:c>
      <x:c r="E9" t="n">
        <x:v>2</x:v>
      </x:c>
      <x:c r="F9" t="n">
        <x:v>2</x:v>
      </x:c>
      <x:c r="G9" t="n">
        <x:f>F9-E9</x:f>
        <x:v>0</x:v>
      </x:c>
      <x:c r="H9" s="2" t="n">
        <x:f>IFERROR(E9/F9,0)</x:f>
        <x:v>1</x:v>
      </x:c>
      <x:c r="I9" t="str">
        <x:v>Adequado</x:v>
      </x:c>
      <x:c r="J9" t="str">
        <x:v>CAEd_DadosExportados (3).zip</x:v>
      </x:c>
    </x:row>
    <x:row r="10">
      <x:c r="A10" t="str">
        <x:v>1A001</x:v>
      </x:c>
      <x:c r="B10" t="str">
        <x:v>1º ano</x:v>
      </x:c>
      <x:c r="C10" t="str">
        <x:v>contraprova</x:v>
      </x:c>
      <x:c r="D10" t="str">
        <x:v>H09</x:v>
      </x:c>
      <x:c r="E10" t="n">
        <x:v>2</x:v>
      </x:c>
      <x:c r="F10" t="n">
        <x:v>2</x:v>
      </x:c>
      <x:c r="G10" t="n">
        <x:f>F10-E10</x:f>
        <x:v>0</x:v>
      </x:c>
      <x:c r="H10" s="2" t="n">
        <x:f>IFERROR(E10/F10,0)</x:f>
        <x:v>1</x:v>
      </x:c>
      <x:c r="I10" t="str">
        <x:v>Adequado</x:v>
      </x:c>
      <x:c r="J10" t="str">
        <x:v>CAEd_DadosExportados (3).zip</x:v>
      </x:c>
    </x:row>
    <x:row r="11">
      <x:c r="A11" t="str">
        <x:v>1A001</x:v>
      </x:c>
      <x:c r="B11" t="str">
        <x:v>1º ano</x:v>
      </x:c>
      <x:c r="C11" t="str">
        <x:v>referencia</x:v>
      </x:c>
      <x:c r="D11" t="str">
        <x:v>H01</x:v>
      </x:c>
      <x:c r="E11" t="n">
        <x:v>3</x:v>
      </x:c>
      <x:c r="F11" t="n">
        <x:v>3</x:v>
      </x:c>
      <x:c r="G11" t="n">
        <x:f>F11-E11</x:f>
        <x:v>0</x:v>
      </x:c>
      <x:c r="H11" s="2" t="n">
        <x:f>IFERROR(E11/F11,0)</x:f>
        <x:v>1</x:v>
      </x:c>
      <x:c r="I11" t="str">
        <x:v>Adequado</x:v>
      </x:c>
      <x:c r="J11" t="str">
        <x:v>CAEd_DadosExportados.zip</x:v>
      </x:c>
    </x:row>
    <x:row r="12">
      <x:c r="A12" t="str">
        <x:v>1A001</x:v>
      </x:c>
      <x:c r="B12" t="str">
        <x:v>1º ano</x:v>
      </x:c>
      <x:c r="C12" t="str">
        <x:v>referencia</x:v>
      </x:c>
      <x:c r="D12" t="str">
        <x:v>H02</x:v>
      </x:c>
      <x:c r="E12" t="n">
        <x:v>3</x:v>
      </x:c>
      <x:c r="F12" t="n">
        <x:v>3</x:v>
      </x:c>
      <x:c r="G12" t="n">
        <x:f>F12-E12</x:f>
        <x:v>0</x:v>
      </x:c>
      <x:c r="H12" s="2" t="n">
        <x:f>IFERROR(E12/F12,0)</x:f>
        <x:v>1</x:v>
      </x:c>
      <x:c r="I12" t="str">
        <x:v>Adequado</x:v>
      </x:c>
      <x:c r="J12" t="str">
        <x:v>CAEd_DadosExportados.zip</x:v>
      </x:c>
    </x:row>
    <x:row r="13">
      <x:c r="A13" t="str">
        <x:v>1A001</x:v>
      </x:c>
      <x:c r="B13" t="str">
        <x:v>1º ano</x:v>
      </x:c>
      <x:c r="C13" t="str">
        <x:v>referencia</x:v>
      </x:c>
      <x:c r="D13" t="str">
        <x:v>H03</x:v>
      </x:c>
      <x:c r="E13" t="n">
        <x:v>3</x:v>
      </x:c>
      <x:c r="F13" t="n">
        <x:v>3</x:v>
      </x:c>
      <x:c r="G13" t="n">
        <x:f>F13-E13</x:f>
        <x:v>0</x:v>
      </x:c>
      <x:c r="H13" s="2" t="n">
        <x:f>IFERROR(E13/F13,0)</x:f>
        <x:v>1</x:v>
      </x:c>
      <x:c r="I13" t="str">
        <x:v>Adequado</x:v>
      </x:c>
      <x:c r="J13" t="str">
        <x:v>CAEd_DadosExportados.zip</x:v>
      </x:c>
    </x:row>
    <x:row r="14">
      <x:c r="A14" t="str">
        <x:v>1A001</x:v>
      </x:c>
      <x:c r="B14" t="str">
        <x:v>1º ano</x:v>
      </x:c>
      <x:c r="C14" t="str">
        <x:v>referencia</x:v>
      </x:c>
      <x:c r="D14" t="str">
        <x:v>H04</x:v>
      </x:c>
      <x:c r="E14" t="n">
        <x:v>2</x:v>
      </x:c>
      <x:c r="F14" t="n">
        <x:v>3</x:v>
      </x:c>
      <x:c r="G14" t="n">
        <x:f>F14-E14</x:f>
        <x:v>1</x:v>
      </x:c>
      <x:c r="H14" s="2" t="n">
        <x:f>IFERROR(E14/F14,0)</x:f>
        <x:v>0.6666666666666666</x:v>
      </x:c>
      <x:c r="I14" t="str">
        <x:v>Adequado</x:v>
      </x:c>
      <x:c r="J14" t="str">
        <x:v>CAEd_DadosExportados.zip</x:v>
      </x:c>
    </x:row>
    <x:row r="15">
      <x:c r="A15" t="str">
        <x:v>1A001</x:v>
      </x:c>
      <x:c r="B15" t="str">
        <x:v>1º ano</x:v>
      </x:c>
      <x:c r="C15" t="str">
        <x:v>referencia</x:v>
      </x:c>
      <x:c r="D15" t="str">
        <x:v>H05</x:v>
      </x:c>
      <x:c r="E15" t="n">
        <x:v>3</x:v>
      </x:c>
      <x:c r="F15" t="n">
        <x:v>3</x:v>
      </x:c>
      <x:c r="G15" t="n">
        <x:f>F15-E15</x:f>
        <x:v>0</x:v>
      </x:c>
      <x:c r="H15" s="2" t="n">
        <x:f>IFERROR(E15/F15,0)</x:f>
        <x:v>1</x:v>
      </x:c>
      <x:c r="I15" t="str">
        <x:v>Adequado</x:v>
      </x:c>
      <x:c r="J15" t="str">
        <x:v>CAEd_DadosExportados.zip</x:v>
      </x:c>
    </x:row>
    <x:row r="16">
      <x:c r="A16" t="str">
        <x:v>1A001</x:v>
      </x:c>
      <x:c r="B16" t="str">
        <x:v>1º ano</x:v>
      </x:c>
      <x:c r="C16" t="str">
        <x:v>referencia</x:v>
      </x:c>
      <x:c r="D16" t="str">
        <x:v>H06</x:v>
      </x:c>
      <x:c r="E16" t="n">
        <x:v>1</x:v>
      </x:c>
      <x:c r="F16" t="n">
        <x:v>3</x:v>
      </x:c>
      <x:c r="G16" t="n">
        <x:f>F16-E16</x:f>
        <x:v>2</x:v>
      </x:c>
      <x:c r="H16" s="2" t="n">
        <x:f>IFERROR(E16/F16,0)</x:f>
        <x:v>0.3333333333333333</x:v>
      </x:c>
      <x:c r="I16" t="str">
        <x:v>Adequado</x:v>
      </x:c>
      <x:c r="J16" t="str">
        <x:v>CAEd_DadosExportados.zip</x:v>
      </x:c>
    </x:row>
    <x:row r="17">
      <x:c r="A17" t="str">
        <x:v>1A001</x:v>
      </x:c>
      <x:c r="B17" t="str">
        <x:v>1º ano</x:v>
      </x:c>
      <x:c r="C17" t="str">
        <x:v>referencia</x:v>
      </x:c>
      <x:c r="D17" t="str">
        <x:v>H07</x:v>
      </x:c>
      <x:c r="E17" t="n">
        <x:v>2</x:v>
      </x:c>
      <x:c r="F17" t="n">
        <x:v>2</x:v>
      </x:c>
      <x:c r="G17" t="n">
        <x:f>F17-E17</x:f>
        <x:v>0</x:v>
      </x:c>
      <x:c r="H17" s="2" t="n">
        <x:f>IFERROR(E17/F17,0)</x:f>
        <x:v>1</x:v>
      </x:c>
      <x:c r="I17" t="str">
        <x:v>Adequado</x:v>
      </x:c>
      <x:c r="J17" t="str">
        <x:v>CAEd_DadosExportados.zip</x:v>
      </x:c>
    </x:row>
    <x:row r="18">
      <x:c r="A18" t="str">
        <x:v>1A001</x:v>
      </x:c>
      <x:c r="B18" t="str">
        <x:v>1º ano</x:v>
      </x:c>
      <x:c r="C18" t="str">
        <x:v>referencia</x:v>
      </x:c>
      <x:c r="D18" t="str">
        <x:v>H08</x:v>
      </x:c>
      <x:c r="E18" t="n">
        <x:v>2</x:v>
      </x:c>
      <x:c r="F18" t="n">
        <x:v>2</x:v>
      </x:c>
      <x:c r="G18" t="n">
        <x:f>F18-E18</x:f>
        <x:v>0</x:v>
      </x:c>
      <x:c r="H18" s="2" t="n">
        <x:f>IFERROR(E18/F18,0)</x:f>
        <x:v>1</x:v>
      </x:c>
      <x:c r="I18" t="str">
        <x:v>Adequado</x:v>
      </x:c>
      <x:c r="J18" t="str">
        <x:v>CAEd_DadosExportados.zip</x:v>
      </x:c>
    </x:row>
    <x:row r="19">
      <x:c r="A19" t="str">
        <x:v>1A002</x:v>
      </x:c>
      <x:c r="B19" t="str">
        <x:v>1º ano</x:v>
      </x:c>
      <x:c r="C19" t="str">
        <x:v>contraprova</x:v>
      </x:c>
      <x:c r="D19" t="str">
        <x:v>H01</x:v>
      </x:c>
      <x:c r="E19" t="n">
        <x:v>1</x:v>
      </x:c>
      <x:c r="F19" t="n">
        <x:v>2</x:v>
      </x:c>
      <x:c r="G19" t="n">
        <x:f>F19-E19</x:f>
        <x:v>1</x:v>
      </x:c>
      <x:c r="H19" s="2" t="n">
        <x:f>IFERROR(E19/F19,0)</x:f>
        <x:v>0.5</x:v>
      </x:c>
      <x:c r="I19" t="str">
        <x:v>Intermediário</x:v>
      </x:c>
      <x:c r="J19" t="str">
        <x:v>CAEd_DadosExportados (3).zip</x:v>
      </x:c>
    </x:row>
    <x:row r="20">
      <x:c r="A20" t="str">
        <x:v>1A002</x:v>
      </x:c>
      <x:c r="B20" t="str">
        <x:v>1º ano</x:v>
      </x:c>
      <x:c r="C20" t="str">
        <x:v>contraprova</x:v>
      </x:c>
      <x:c r="D20" t="str">
        <x:v>H02</x:v>
      </x:c>
      <x:c r="E20" t="n">
        <x:v>1</x:v>
      </x:c>
      <x:c r="F20" t="n">
        <x:v>2</x:v>
      </x:c>
      <x:c r="G20" t="n">
        <x:f>F20-E20</x:f>
        <x:v>1</x:v>
      </x:c>
      <x:c r="H20" s="2" t="n">
        <x:f>IFERROR(E20/F20,0)</x:f>
        <x:v>0.5</x:v>
      </x:c>
      <x:c r="I20" t="str">
        <x:v>Intermediário</x:v>
      </x:c>
      <x:c r="J20" t="str">
        <x:v>CAEd_DadosExportados (3).zip</x:v>
      </x:c>
    </x:row>
    <x:row r="21">
      <x:c r="A21" t="str">
        <x:v>1A002</x:v>
      </x:c>
      <x:c r="B21" t="str">
        <x:v>1º ano</x:v>
      </x:c>
      <x:c r="C21" t="str">
        <x:v>contraprova</x:v>
      </x:c>
      <x:c r="D21" t="str">
        <x:v>H03</x:v>
      </x:c>
      <x:c r="E21" t="n">
        <x:v>2</x:v>
      </x:c>
      <x:c r="F21" t="n">
        <x:v>3</x:v>
      </x:c>
      <x:c r="G21" t="n">
        <x:f>F21-E21</x:f>
        <x:v>1</x:v>
      </x:c>
      <x:c r="H21" s="2" t="n">
        <x:f>IFERROR(E21/F21,0)</x:f>
        <x:v>0.6666666666666666</x:v>
      </x:c>
      <x:c r="I21" t="str">
        <x:v>Intermediário</x:v>
      </x:c>
      <x:c r="J21" t="str">
        <x:v>CAEd_DadosExportados (3).zip</x:v>
      </x:c>
    </x:row>
    <x:row r="22">
      <x:c r="A22" t="str">
        <x:v>1A002</x:v>
      </x:c>
      <x:c r="B22" t="str">
        <x:v>1º ano</x:v>
      </x:c>
      <x:c r="C22" t="str">
        <x:v>contraprova</x:v>
      </x:c>
      <x:c r="D22" t="str">
        <x:v>H04</x:v>
      </x:c>
      <x:c r="E22" t="n">
        <x:v>1</x:v>
      </x:c>
      <x:c r="F22" t="n">
        <x:v>3</x:v>
      </x:c>
      <x:c r="G22" t="n">
        <x:f>F22-E22</x:f>
        <x:v>2</x:v>
      </x:c>
      <x:c r="H22" s="2" t="n">
        <x:f>IFERROR(E22/F22,0)</x:f>
        <x:v>0.3333333333333333</x:v>
      </x:c>
      <x:c r="I22" t="str">
        <x:v>Intermediário</x:v>
      </x:c>
      <x:c r="J22" t="str">
        <x:v>CAEd_DadosExportados (3).zip</x:v>
      </x:c>
    </x:row>
    <x:row r="23">
      <x:c r="A23" t="str">
        <x:v>1A002</x:v>
      </x:c>
      <x:c r="B23" t="str">
        <x:v>1º ano</x:v>
      </x:c>
      <x:c r="C23" t="str">
        <x:v>contraprova</x:v>
      </x:c>
      <x:c r="D23" t="str">
        <x:v>H05</x:v>
      </x:c>
      <x:c r="E23" t="n">
        <x:v>2</x:v>
      </x:c>
      <x:c r="F23" t="n">
        <x:v>3</x:v>
      </x:c>
      <x:c r="G23" t="n">
        <x:f>F23-E23</x:f>
        <x:v>1</x:v>
      </x:c>
      <x:c r="H23" s="2" t="n">
        <x:f>IFERROR(E23/F23,0)</x:f>
        <x:v>0.6666666666666666</x:v>
      </x:c>
      <x:c r="I23" t="str">
        <x:v>Intermediário</x:v>
      </x:c>
      <x:c r="J23" t="str">
        <x:v>CAEd_DadosExportados (3).zip</x:v>
      </x:c>
    </x:row>
    <x:row r="24">
      <x:c r="A24" t="str">
        <x:v>1A002</x:v>
      </x:c>
      <x:c r="B24" t="str">
        <x:v>1º ano</x:v>
      </x:c>
      <x:c r="C24" t="str">
        <x:v>contraprova</x:v>
      </x:c>
      <x:c r="D24" t="str">
        <x:v>H06</x:v>
      </x:c>
      <x:c r="E24" t="n">
        <x:v>3</x:v>
      </x:c>
      <x:c r="F24" t="n">
        <x:v>3</x:v>
      </x:c>
      <x:c r="G24" t="n">
        <x:f>F24-E24</x:f>
        <x:v>0</x:v>
      </x:c>
      <x:c r="H24" s="2" t="n">
        <x:f>IFERROR(E24/F24,0)</x:f>
        <x:v>1</x:v>
      </x:c>
      <x:c r="I24" t="str">
        <x:v>Intermediário</x:v>
      </x:c>
      <x:c r="J24" t="str">
        <x:v>CAEd_DadosExportados (3).zip</x:v>
      </x:c>
    </x:row>
    <x:row r="25">
      <x:c r="A25" t="str">
        <x:v>1A002</x:v>
      </x:c>
      <x:c r="B25" t="str">
        <x:v>1º ano</x:v>
      </x:c>
      <x:c r="C25" t="str">
        <x:v>contraprova</x:v>
      </x:c>
      <x:c r="D25" t="str">
        <x:v>H07</x:v>
      </x:c>
      <x:c r="E25" t="n">
        <x:v>0</x:v>
      </x:c>
      <x:c r="F25" t="n">
        <x:v>2</x:v>
      </x:c>
      <x:c r="G25" t="n">
        <x:f>F25-E25</x:f>
        <x:v>2</x:v>
      </x:c>
      <x:c r="H25" s="2" t="n">
        <x:f>IFERROR(E25/F25,0)</x:f>
        <x:v>0</x:v>
      </x:c>
      <x:c r="I25" t="str">
        <x:v>Intermediário</x:v>
      </x:c>
      <x:c r="J25" t="str">
        <x:v>CAEd_DadosExportados (3).zip</x:v>
      </x:c>
    </x:row>
    <x:row r="26">
      <x:c r="A26" t="str">
        <x:v>1A002</x:v>
      </x:c>
      <x:c r="B26" t="str">
        <x:v>1º ano</x:v>
      </x:c>
      <x:c r="C26" t="str">
        <x:v>contraprova</x:v>
      </x:c>
      <x:c r="D26" t="str">
        <x:v>H08</x:v>
      </x:c>
      <x:c r="E26" t="n">
        <x:v>2</x:v>
      </x:c>
      <x:c r="F26" t="n">
        <x:v>2</x:v>
      </x:c>
      <x:c r="G26" t="n">
        <x:f>F26-E26</x:f>
        <x:v>0</x:v>
      </x:c>
      <x:c r="H26" s="2" t="n">
        <x:f>IFERROR(E26/F26,0)</x:f>
        <x:v>1</x:v>
      </x:c>
      <x:c r="I26" t="str">
        <x:v>Intermediário</x:v>
      </x:c>
      <x:c r="J26" t="str">
        <x:v>CAEd_DadosExportados (3).zip</x:v>
      </x:c>
    </x:row>
    <x:row r="27">
      <x:c r="A27" t="str">
        <x:v>1A002</x:v>
      </x:c>
      <x:c r="B27" t="str">
        <x:v>1º ano</x:v>
      </x:c>
      <x:c r="C27" t="str">
        <x:v>contraprova</x:v>
      </x:c>
      <x:c r="D27" t="str">
        <x:v>H09</x:v>
      </x:c>
      <x:c r="E27" t="n">
        <x:v>2</x:v>
      </x:c>
      <x:c r="F27" t="n">
        <x:v>2</x:v>
      </x:c>
      <x:c r="G27" t="n">
        <x:f>F27-E27</x:f>
        <x:v>0</x:v>
      </x:c>
      <x:c r="H27" s="2" t="n">
        <x:f>IFERROR(E27/F27,0)</x:f>
        <x:v>1</x:v>
      </x:c>
      <x:c r="I27" t="str">
        <x:v>Intermediário</x:v>
      </x:c>
      <x:c r="J27" t="str">
        <x:v>CAEd_DadosExportados (3).zip</x:v>
      </x:c>
    </x:row>
    <x:row r="28">
      <x:c r="A28" t="str">
        <x:v>1A002</x:v>
      </x:c>
      <x:c r="B28" t="str">
        <x:v>1º ano</x:v>
      </x:c>
      <x:c r="C28" t="str">
        <x:v>referencia</x:v>
      </x:c>
      <x:c r="D28" t="str">
        <x:v>H01</x:v>
      </x:c>
      <x:c r="E28" t="n">
        <x:v>3</x:v>
      </x:c>
      <x:c r="F28" t="n">
        <x:v>3</x:v>
      </x:c>
      <x:c r="G28" t="n">
        <x:f>F28-E28</x:f>
        <x:v>0</x:v>
      </x:c>
      <x:c r="H28" s="2" t="n">
        <x:f>IFERROR(E28/F28,0)</x:f>
        <x:v>1</x:v>
      </x:c>
      <x:c r="I28" t="str">
        <x:v>Adequado</x:v>
      </x:c>
      <x:c r="J28" t="str">
        <x:v>CAEd_DadosExportados.zip</x:v>
      </x:c>
    </x:row>
    <x:row r="29">
      <x:c r="A29" t="str">
        <x:v>1A002</x:v>
      </x:c>
      <x:c r="B29" t="str">
        <x:v>1º ano</x:v>
      </x:c>
      <x:c r="C29" t="str">
        <x:v>referencia</x:v>
      </x:c>
      <x:c r="D29" t="str">
        <x:v>H02</x:v>
      </x:c>
      <x:c r="E29" t="n">
        <x:v>3</x:v>
      </x:c>
      <x:c r="F29" t="n">
        <x:v>3</x:v>
      </x:c>
      <x:c r="G29" t="n">
        <x:f>F29-E29</x:f>
        <x:v>0</x:v>
      </x:c>
      <x:c r="H29" s="2" t="n">
        <x:f>IFERROR(E29/F29,0)</x:f>
        <x:v>1</x:v>
      </x:c>
      <x:c r="I29" t="str">
        <x:v>Adequado</x:v>
      </x:c>
      <x:c r="J29" t="str">
        <x:v>CAEd_DadosExportados.zip</x:v>
      </x:c>
    </x:row>
    <x:row r="30">
      <x:c r="A30" t="str">
        <x:v>1A002</x:v>
      </x:c>
      <x:c r="B30" t="str">
        <x:v>1º ano</x:v>
      </x:c>
      <x:c r="C30" t="str">
        <x:v>referencia</x:v>
      </x:c>
      <x:c r="D30" t="str">
        <x:v>H03</x:v>
      </x:c>
      <x:c r="E30" t="n">
        <x:v>3</x:v>
      </x:c>
      <x:c r="F30" t="n">
        <x:v>3</x:v>
      </x:c>
      <x:c r="G30" t="n">
        <x:f>F30-E30</x:f>
        <x:v>0</x:v>
      </x:c>
      <x:c r="H30" s="2" t="n">
        <x:f>IFERROR(E30/F30,0)</x:f>
        <x:v>1</x:v>
      </x:c>
      <x:c r="I30" t="str">
        <x:v>Adequado</x:v>
      </x:c>
      <x:c r="J30" t="str">
        <x:v>CAEd_DadosExportados.zip</x:v>
      </x:c>
    </x:row>
    <x:row r="31">
      <x:c r="A31" t="str">
        <x:v>1A002</x:v>
      </x:c>
      <x:c r="B31" t="str">
        <x:v>1º ano</x:v>
      </x:c>
      <x:c r="C31" t="str">
        <x:v>referencia</x:v>
      </x:c>
      <x:c r="D31" t="str">
        <x:v>H04</x:v>
      </x:c>
      <x:c r="E31" t="n">
        <x:v>3</x:v>
      </x:c>
      <x:c r="F31" t="n">
        <x:v>3</x:v>
      </x:c>
      <x:c r="G31" t="n">
        <x:f>F31-E31</x:f>
        <x:v>0</x:v>
      </x:c>
      <x:c r="H31" s="2" t="n">
        <x:f>IFERROR(E31/F31,0)</x:f>
        <x:v>1</x:v>
      </x:c>
      <x:c r="I31" t="str">
        <x:v>Adequado</x:v>
      </x:c>
      <x:c r="J31" t="str">
        <x:v>CAEd_DadosExportados.zip</x:v>
      </x:c>
    </x:row>
    <x:row r="32">
      <x:c r="A32" t="str">
        <x:v>1A002</x:v>
      </x:c>
      <x:c r="B32" t="str">
        <x:v>1º ano</x:v>
      </x:c>
      <x:c r="C32" t="str">
        <x:v>referencia</x:v>
      </x:c>
      <x:c r="D32" t="str">
        <x:v>H05</x:v>
      </x:c>
      <x:c r="E32" t="n">
        <x:v>3</x:v>
      </x:c>
      <x:c r="F32" t="n">
        <x:v>3</x:v>
      </x:c>
      <x:c r="G32" t="n">
        <x:f>F32-E32</x:f>
        <x:v>0</x:v>
      </x:c>
      <x:c r="H32" s="2" t="n">
        <x:f>IFERROR(E32/F32,0)</x:f>
        <x:v>1</x:v>
      </x:c>
      <x:c r="I32" t="str">
        <x:v>Adequado</x:v>
      </x:c>
      <x:c r="J32" t="str">
        <x:v>CAEd_DadosExportados.zip</x:v>
      </x:c>
    </x:row>
    <x:row r="33">
      <x:c r="A33" t="str">
        <x:v>1A002</x:v>
      </x:c>
      <x:c r="B33" t="str">
        <x:v>1º ano</x:v>
      </x:c>
      <x:c r="C33" t="str">
        <x:v>referencia</x:v>
      </x:c>
      <x:c r="D33" t="str">
        <x:v>H06</x:v>
      </x:c>
      <x:c r="E33" t="n">
        <x:v>3</x:v>
      </x:c>
      <x:c r="F33" t="n">
        <x:v>3</x:v>
      </x:c>
      <x:c r="G33" t="n">
        <x:f>F33-E33</x:f>
        <x:v>0</x:v>
      </x:c>
      <x:c r="H33" s="2" t="n">
        <x:f>IFERROR(E33/F33,0)</x:f>
        <x:v>1</x:v>
      </x:c>
      <x:c r="I33" t="str">
        <x:v>Adequado</x:v>
      </x:c>
      <x:c r="J33" t="str">
        <x:v>CAEd_DadosExportados.zip</x:v>
      </x:c>
    </x:row>
    <x:row r="34">
      <x:c r="A34" t="str">
        <x:v>1A002</x:v>
      </x:c>
      <x:c r="B34" t="str">
        <x:v>1º ano</x:v>
      </x:c>
      <x:c r="C34" t="str">
        <x:v>referencia</x:v>
      </x:c>
      <x:c r="D34" t="str">
        <x:v>H07</x:v>
      </x:c>
      <x:c r="E34" t="n">
        <x:v>1</x:v>
      </x:c>
      <x:c r="F34" t="n">
        <x:v>2</x:v>
      </x:c>
      <x:c r="G34" t="n">
        <x:f>F34-E34</x:f>
        <x:v>1</x:v>
      </x:c>
      <x:c r="H34" s="2" t="n">
        <x:f>IFERROR(E34/F34,0)</x:f>
        <x:v>0.5</x:v>
      </x:c>
      <x:c r="I34" t="str">
        <x:v>Adequado</x:v>
      </x:c>
      <x:c r="J34" t="str">
        <x:v>CAEd_DadosExportados.zip</x:v>
      </x:c>
    </x:row>
    <x:row r="35">
      <x:c r="A35" t="str">
        <x:v>1A002</x:v>
      </x:c>
      <x:c r="B35" t="str">
        <x:v>1º ano</x:v>
      </x:c>
      <x:c r="C35" t="str">
        <x:v>referencia</x:v>
      </x:c>
      <x:c r="D35" t="str">
        <x:v>H08</x:v>
      </x:c>
      <x:c r="E35" t="n">
        <x:v>1</x:v>
      </x:c>
      <x:c r="F35" t="n">
        <x:v>2</x:v>
      </x:c>
      <x:c r="G35" t="n">
        <x:f>F35-E35</x:f>
        <x:v>1</x:v>
      </x:c>
      <x:c r="H35" s="2" t="n">
        <x:f>IFERROR(E35/F35,0)</x:f>
        <x:v>0.5</x:v>
      </x:c>
      <x:c r="I35" t="str">
        <x:v>Adequado</x:v>
      </x:c>
      <x:c r="J35" t="str">
        <x:v>CAEd_DadosExportados.zip</x:v>
      </x:c>
    </x:row>
    <x:row r="36">
      <x:c r="A36" t="str">
        <x:v>1A003</x:v>
      </x:c>
      <x:c r="B36" t="str">
        <x:v>1º ano</x:v>
      </x:c>
      <x:c r="C36" t="str">
        <x:v>contraprova</x:v>
      </x:c>
      <x:c r="D36" t="str">
        <x:v>H01</x:v>
      </x:c>
      <x:c r="E36" t="n">
        <x:v>2</x:v>
      </x:c>
      <x:c r="F36" t="n">
        <x:v>2</x:v>
      </x:c>
      <x:c r="G36" t="n">
        <x:f>F36-E36</x:f>
        <x:v>0</x:v>
      </x:c>
      <x:c r="H36" s="2" t="n">
        <x:f>IFERROR(E36/F36,0)</x:f>
        <x:v>1</x:v>
      </x:c>
      <x:c r="I36" t="str">
        <x:v>Adequado</x:v>
      </x:c>
      <x:c r="J36" t="str">
        <x:v>CAEd_DadosExportados (3).zip</x:v>
      </x:c>
    </x:row>
    <x:row r="37">
      <x:c r="A37" t="str">
        <x:v>1A003</x:v>
      </x:c>
      <x:c r="B37" t="str">
        <x:v>1º ano</x:v>
      </x:c>
      <x:c r="C37" t="str">
        <x:v>contraprova</x:v>
      </x:c>
      <x:c r="D37" t="str">
        <x:v>H02</x:v>
      </x:c>
      <x:c r="E37" t="n">
        <x:v>2</x:v>
      </x:c>
      <x:c r="F37" t="n">
        <x:v>2</x:v>
      </x:c>
      <x:c r="G37" t="n">
        <x:f>F37-E37</x:f>
        <x:v>0</x:v>
      </x:c>
      <x:c r="H37" s="2" t="n">
        <x:f>IFERROR(E37/F37,0)</x:f>
        <x:v>1</x:v>
      </x:c>
      <x:c r="I37" t="str">
        <x:v>Adequado</x:v>
      </x:c>
      <x:c r="J37" t="str">
        <x:v>CAEd_DadosExportados (3).zip</x:v>
      </x:c>
    </x:row>
    <x:row r="38">
      <x:c r="A38" t="str">
        <x:v>1A003</x:v>
      </x:c>
      <x:c r="B38" t="str">
        <x:v>1º ano</x:v>
      </x:c>
      <x:c r="C38" t="str">
        <x:v>contraprova</x:v>
      </x:c>
      <x:c r="D38" t="str">
        <x:v>H03</x:v>
      </x:c>
      <x:c r="E38" t="n">
        <x:v>3</x:v>
      </x:c>
      <x:c r="F38" t="n">
        <x:v>3</x:v>
      </x:c>
      <x:c r="G38" t="n">
        <x:f>F38-E38</x:f>
        <x:v>0</x:v>
      </x:c>
      <x:c r="H38" s="2" t="n">
        <x:f>IFERROR(E38/F38,0)</x:f>
        <x:v>1</x:v>
      </x:c>
      <x:c r="I38" t="str">
        <x:v>Adequado</x:v>
      </x:c>
      <x:c r="J38" t="str">
        <x:v>CAEd_DadosExportados (3).zip</x:v>
      </x:c>
    </x:row>
    <x:row r="39">
      <x:c r="A39" t="str">
        <x:v>1A003</x:v>
      </x:c>
      <x:c r="B39" t="str">
        <x:v>1º ano</x:v>
      </x:c>
      <x:c r="C39" t="str">
        <x:v>contraprova</x:v>
      </x:c>
      <x:c r="D39" t="str">
        <x:v>H04</x:v>
      </x:c>
      <x:c r="E39" t="n">
        <x:v>2</x:v>
      </x:c>
      <x:c r="F39" t="n">
        <x:v>3</x:v>
      </x:c>
      <x:c r="G39" t="n">
        <x:f>F39-E39</x:f>
        <x:v>1</x:v>
      </x:c>
      <x:c r="H39" s="2" t="n">
        <x:f>IFERROR(E39/F39,0)</x:f>
        <x:v>0.6666666666666666</x:v>
      </x:c>
      <x:c r="I39" t="str">
        <x:v>Adequado</x:v>
      </x:c>
      <x:c r="J39" t="str">
        <x:v>CAEd_DadosExportados (3).zip</x:v>
      </x:c>
    </x:row>
    <x:row r="40">
      <x:c r="A40" t="str">
        <x:v>1A003</x:v>
      </x:c>
      <x:c r="B40" t="str">
        <x:v>1º ano</x:v>
      </x:c>
      <x:c r="C40" t="str">
        <x:v>contraprova</x:v>
      </x:c>
      <x:c r="D40" t="str">
        <x:v>H05</x:v>
      </x:c>
      <x:c r="E40" t="n">
        <x:v>3</x:v>
      </x:c>
      <x:c r="F40" t="n">
        <x:v>3</x:v>
      </x:c>
      <x:c r="G40" t="n">
        <x:f>F40-E40</x:f>
        <x:v>0</x:v>
      </x:c>
      <x:c r="H40" s="2" t="n">
        <x:f>IFERROR(E40/F40,0)</x:f>
        <x:v>1</x:v>
      </x:c>
      <x:c r="I40" t="str">
        <x:v>Adequado</x:v>
      </x:c>
      <x:c r="J40" t="str">
        <x:v>CAEd_DadosExportados (3).zip</x:v>
      </x:c>
    </x:row>
    <x:row r="41">
      <x:c r="A41" t="str">
        <x:v>1A003</x:v>
      </x:c>
      <x:c r="B41" t="str">
        <x:v>1º ano</x:v>
      </x:c>
      <x:c r="C41" t="str">
        <x:v>contraprova</x:v>
      </x:c>
      <x:c r="D41" t="str">
        <x:v>H06</x:v>
      </x:c>
      <x:c r="E41" t="n">
        <x:v>2</x:v>
      </x:c>
      <x:c r="F41" t="n">
        <x:v>3</x:v>
      </x:c>
      <x:c r="G41" t="n">
        <x:f>F41-E41</x:f>
        <x:v>1</x:v>
      </x:c>
      <x:c r="H41" s="2" t="n">
        <x:f>IFERROR(E41/F41,0)</x:f>
        <x:v>0.6666666666666666</x:v>
      </x:c>
      <x:c r="I41" t="str">
        <x:v>Adequado</x:v>
      </x:c>
      <x:c r="J41" t="str">
        <x:v>CAEd_DadosExportados (3).zip</x:v>
      </x:c>
    </x:row>
    <x:row r="42">
      <x:c r="A42" t="str">
        <x:v>1A003</x:v>
      </x:c>
      <x:c r="B42" t="str">
        <x:v>1º ano</x:v>
      </x:c>
      <x:c r="C42" t="str">
        <x:v>contraprova</x:v>
      </x:c>
      <x:c r="D42" t="str">
        <x:v>H07</x:v>
      </x:c>
      <x:c r="E42" t="n">
        <x:v>2</x:v>
      </x:c>
      <x:c r="F42" t="n">
        <x:v>2</x:v>
      </x:c>
      <x:c r="G42" t="n">
        <x:f>F42-E42</x:f>
        <x:v>0</x:v>
      </x:c>
      <x:c r="H42" s="2" t="n">
        <x:f>IFERROR(E42/F42,0)</x:f>
        <x:v>1</x:v>
      </x:c>
      <x:c r="I42" t="str">
        <x:v>Adequado</x:v>
      </x:c>
      <x:c r="J42" t="str">
        <x:v>CAEd_DadosExportados (3).zip</x:v>
      </x:c>
    </x:row>
    <x:row r="43">
      <x:c r="A43" t="str">
        <x:v>1A003</x:v>
      </x:c>
      <x:c r="B43" t="str">
        <x:v>1º ano</x:v>
      </x:c>
      <x:c r="C43" t="str">
        <x:v>contraprova</x:v>
      </x:c>
      <x:c r="D43" t="str">
        <x:v>H08</x:v>
      </x:c>
      <x:c r="E43" t="n">
        <x:v>2</x:v>
      </x:c>
      <x:c r="F43" t="n">
        <x:v>2</x:v>
      </x:c>
      <x:c r="G43" t="n">
        <x:f>F43-E43</x:f>
        <x:v>0</x:v>
      </x:c>
      <x:c r="H43" s="2" t="n">
        <x:f>IFERROR(E43/F43,0)</x:f>
        <x:v>1</x:v>
      </x:c>
      <x:c r="I43" t="str">
        <x:v>Adequado</x:v>
      </x:c>
      <x:c r="J43" t="str">
        <x:v>CAEd_DadosExportados (3).zip</x:v>
      </x:c>
    </x:row>
    <x:row r="44">
      <x:c r="A44" t="str">
        <x:v>1A003</x:v>
      </x:c>
      <x:c r="B44" t="str">
        <x:v>1º ano</x:v>
      </x:c>
      <x:c r="C44" t="str">
        <x:v>contraprova</x:v>
      </x:c>
      <x:c r="D44" t="str">
        <x:v>H09</x:v>
      </x:c>
      <x:c r="E44" t="n">
        <x:v>2</x:v>
      </x:c>
      <x:c r="F44" t="n">
        <x:v>2</x:v>
      </x:c>
      <x:c r="G44" t="n">
        <x:f>F44-E44</x:f>
        <x:v>0</x:v>
      </x:c>
      <x:c r="H44" s="2" t="n">
        <x:f>IFERROR(E44/F44,0)</x:f>
        <x:v>1</x:v>
      </x:c>
      <x:c r="I44" t="str">
        <x:v>Adequado</x:v>
      </x:c>
      <x:c r="J44" t="str">
        <x:v>CAEd_DadosExportados (3).zip</x:v>
      </x:c>
    </x:row>
    <x:row r="45">
      <x:c r="A45" t="str">
        <x:v>1A003</x:v>
      </x:c>
      <x:c r="B45" t="str">
        <x:v>1º ano</x:v>
      </x:c>
      <x:c r="C45" t="str">
        <x:v>referencia</x:v>
      </x:c>
      <x:c r="D45" t="str">
        <x:v>H01</x:v>
      </x:c>
      <x:c r="E45" t="n">
        <x:v>3</x:v>
      </x:c>
      <x:c r="F45" t="n">
        <x:v>3</x:v>
      </x:c>
      <x:c r="G45" t="n">
        <x:f>F45-E45</x:f>
        <x:v>0</x:v>
      </x:c>
      <x:c r="H45" s="2" t="n">
        <x:f>IFERROR(E45/F45,0)</x:f>
        <x:v>1</x:v>
      </x:c>
      <x:c r="I45" t="str">
        <x:v>Adequado</x:v>
      </x:c>
      <x:c r="J45" t="str">
        <x:v>CAEd_DadosExportados.zip</x:v>
      </x:c>
    </x:row>
    <x:row r="46">
      <x:c r="A46" t="str">
        <x:v>1A003</x:v>
      </x:c>
      <x:c r="B46" t="str">
        <x:v>1º ano</x:v>
      </x:c>
      <x:c r="C46" t="str">
        <x:v>referencia</x:v>
      </x:c>
      <x:c r="D46" t="str">
        <x:v>H02</x:v>
      </x:c>
      <x:c r="E46" t="n">
        <x:v>3</x:v>
      </x:c>
      <x:c r="F46" t="n">
        <x:v>3</x:v>
      </x:c>
      <x:c r="G46" t="n">
        <x:f>F46-E46</x:f>
        <x:v>0</x:v>
      </x:c>
      <x:c r="H46" s="2" t="n">
        <x:f>IFERROR(E46/F46,0)</x:f>
        <x:v>1</x:v>
      </x:c>
      <x:c r="I46" t="str">
        <x:v>Adequado</x:v>
      </x:c>
      <x:c r="J46" t="str">
        <x:v>CAEd_DadosExportados.zip</x:v>
      </x:c>
    </x:row>
    <x:row r="47">
      <x:c r="A47" t="str">
        <x:v>1A003</x:v>
      </x:c>
      <x:c r="B47" t="str">
        <x:v>1º ano</x:v>
      </x:c>
      <x:c r="C47" t="str">
        <x:v>referencia</x:v>
      </x:c>
      <x:c r="D47" t="str">
        <x:v>H03</x:v>
      </x:c>
      <x:c r="E47" t="n">
        <x:v>3</x:v>
      </x:c>
      <x:c r="F47" t="n">
        <x:v>3</x:v>
      </x:c>
      <x:c r="G47" t="n">
        <x:f>F47-E47</x:f>
        <x:v>0</x:v>
      </x:c>
      <x:c r="H47" s="2" t="n">
        <x:f>IFERROR(E47/F47,0)</x:f>
        <x:v>1</x:v>
      </x:c>
      <x:c r="I47" t="str">
        <x:v>Adequado</x:v>
      </x:c>
      <x:c r="J47" t="str">
        <x:v>CAEd_DadosExportados.zip</x:v>
      </x:c>
    </x:row>
    <x:row r="48">
      <x:c r="A48" t="str">
        <x:v>1A003</x:v>
      </x:c>
      <x:c r="B48" t="str">
        <x:v>1º ano</x:v>
      </x:c>
      <x:c r="C48" t="str">
        <x:v>referencia</x:v>
      </x:c>
      <x:c r="D48" t="str">
        <x:v>H04</x:v>
      </x:c>
      <x:c r="E48" t="n">
        <x:v>3</x:v>
      </x:c>
      <x:c r="F48" t="n">
        <x:v>3</x:v>
      </x:c>
      <x:c r="G48" t="n">
        <x:f>F48-E48</x:f>
        <x:v>0</x:v>
      </x:c>
      <x:c r="H48" s="2" t="n">
        <x:f>IFERROR(E48/F48,0)</x:f>
        <x:v>1</x:v>
      </x:c>
      <x:c r="I48" t="str">
        <x:v>Adequado</x:v>
      </x:c>
      <x:c r="J48" t="str">
        <x:v>CAEd_DadosExportados.zip</x:v>
      </x:c>
    </x:row>
    <x:row r="49">
      <x:c r="A49" t="str">
        <x:v>1A003</x:v>
      </x:c>
      <x:c r="B49" t="str">
        <x:v>1º ano</x:v>
      </x:c>
      <x:c r="C49" t="str">
        <x:v>referencia</x:v>
      </x:c>
      <x:c r="D49" t="str">
        <x:v>H05</x:v>
      </x:c>
      <x:c r="E49" t="n">
        <x:v>3</x:v>
      </x:c>
      <x:c r="F49" t="n">
        <x:v>3</x:v>
      </x:c>
      <x:c r="G49" t="n">
        <x:f>F49-E49</x:f>
        <x:v>0</x:v>
      </x:c>
      <x:c r="H49" s="2" t="n">
        <x:f>IFERROR(E49/F49,0)</x:f>
        <x:v>1</x:v>
      </x:c>
      <x:c r="I49" t="str">
        <x:v>Adequado</x:v>
      </x:c>
      <x:c r="J49" t="str">
        <x:v>CAEd_DadosExportados.zip</x:v>
      </x:c>
    </x:row>
    <x:row r="50">
      <x:c r="A50" t="str">
        <x:v>1A003</x:v>
      </x:c>
      <x:c r="B50" t="str">
        <x:v>1º ano</x:v>
      </x:c>
      <x:c r="C50" t="str">
        <x:v>referencia</x:v>
      </x:c>
      <x:c r="D50" t="str">
        <x:v>H06</x:v>
      </x:c>
      <x:c r="E50" t="n">
        <x:v>2</x:v>
      </x:c>
      <x:c r="F50" t="n">
        <x:v>3</x:v>
      </x:c>
      <x:c r="G50" t="n">
        <x:f>F50-E50</x:f>
        <x:v>1</x:v>
      </x:c>
      <x:c r="H50" s="2" t="n">
        <x:f>IFERROR(E50/F50,0)</x:f>
        <x:v>0.6666666666666666</x:v>
      </x:c>
      <x:c r="I50" t="str">
        <x:v>Adequado</x:v>
      </x:c>
      <x:c r="J50" t="str">
        <x:v>CAEd_DadosExportados.zip</x:v>
      </x:c>
    </x:row>
    <x:row r="51">
      <x:c r="A51" t="str">
        <x:v>1A003</x:v>
      </x:c>
      <x:c r="B51" t="str">
        <x:v>1º ano</x:v>
      </x:c>
      <x:c r="C51" t="str">
        <x:v>referencia</x:v>
      </x:c>
      <x:c r="D51" t="str">
        <x:v>H07</x:v>
      </x:c>
      <x:c r="E51" t="n">
        <x:v>0</x:v>
      </x:c>
      <x:c r="F51" t="n">
        <x:v>2</x:v>
      </x:c>
      <x:c r="G51" t="n">
        <x:f>F51-E51</x:f>
        <x:v>2</x:v>
      </x:c>
      <x:c r="H51" s="2" t="n">
        <x:f>IFERROR(E51/F51,0)</x:f>
        <x:v>0</x:v>
      </x:c>
      <x:c r="I51" t="str">
        <x:v>Adequado</x:v>
      </x:c>
      <x:c r="J51" t="str">
        <x:v>CAEd_DadosExportados.zip</x:v>
      </x:c>
    </x:row>
    <x:row r="52">
      <x:c r="A52" t="str">
        <x:v>1A003</x:v>
      </x:c>
      <x:c r="B52" t="str">
        <x:v>1º ano</x:v>
      </x:c>
      <x:c r="C52" t="str">
        <x:v>referencia</x:v>
      </x:c>
      <x:c r="D52" t="str">
        <x:v>H08</x:v>
      </x:c>
      <x:c r="E52" t="n">
        <x:v>2</x:v>
      </x:c>
      <x:c r="F52" t="n">
        <x:v>2</x:v>
      </x:c>
      <x:c r="G52" t="n">
        <x:f>F52-E52</x:f>
        <x:v>0</x:v>
      </x:c>
      <x:c r="H52" s="2" t="n">
        <x:f>IFERROR(E52/F52,0)</x:f>
        <x:v>1</x:v>
      </x:c>
      <x:c r="I52" t="str">
        <x:v>Adequado</x:v>
      </x:c>
      <x:c r="J52" t="str">
        <x:v>CAEd_DadosExportados.zip</x:v>
      </x:c>
    </x:row>
    <x:row r="53">
      <x:c r="A53" t="str">
        <x:v>1A004</x:v>
      </x:c>
      <x:c r="B53" t="str">
        <x:v>1º ano</x:v>
      </x:c>
      <x:c r="C53" t="str">
        <x:v>contraprova</x:v>
      </x:c>
      <x:c r="D53" t="str">
        <x:v>H01</x:v>
      </x:c>
      <x:c r="E53" t="n">
        <x:v>2</x:v>
      </x:c>
      <x:c r="F53" t="n">
        <x:v>2</x:v>
      </x:c>
      <x:c r="G53" t="n">
        <x:f>F53-E53</x:f>
        <x:v>0</x:v>
      </x:c>
      <x:c r="H53" s="2" t="n">
        <x:f>IFERROR(E53/F53,0)</x:f>
        <x:v>1</x:v>
      </x:c>
      <x:c r="I53" t="str">
        <x:v>Adequado</x:v>
      </x:c>
      <x:c r="J53" t="str">
        <x:v>CAEd_DadosExportados (3).zip</x:v>
      </x:c>
    </x:row>
    <x:row r="54">
      <x:c r="A54" t="str">
        <x:v>1A004</x:v>
      </x:c>
      <x:c r="B54" t="str">
        <x:v>1º ano</x:v>
      </x:c>
      <x:c r="C54" t="str">
        <x:v>contraprova</x:v>
      </x:c>
      <x:c r="D54" t="str">
        <x:v>H02</x:v>
      </x:c>
      <x:c r="E54" t="n">
        <x:v>2</x:v>
      </x:c>
      <x:c r="F54" t="n">
        <x:v>2</x:v>
      </x:c>
      <x:c r="G54" t="n">
        <x:f>F54-E54</x:f>
        <x:v>0</x:v>
      </x:c>
      <x:c r="H54" s="2" t="n">
        <x:f>IFERROR(E54/F54,0)</x:f>
        <x:v>1</x:v>
      </x:c>
      <x:c r="I54" t="str">
        <x:v>Adequado</x:v>
      </x:c>
      <x:c r="J54" t="str">
        <x:v>CAEd_DadosExportados (3).zip</x:v>
      </x:c>
    </x:row>
    <x:row r="55">
      <x:c r="A55" t="str">
        <x:v>1A004</x:v>
      </x:c>
      <x:c r="B55" t="str">
        <x:v>1º ano</x:v>
      </x:c>
      <x:c r="C55" t="str">
        <x:v>contraprova</x:v>
      </x:c>
      <x:c r="D55" t="str">
        <x:v>H03</x:v>
      </x:c>
      <x:c r="E55" t="n">
        <x:v>3</x:v>
      </x:c>
      <x:c r="F55" t="n">
        <x:v>3</x:v>
      </x:c>
      <x:c r="G55" t="n">
        <x:f>F55-E55</x:f>
        <x:v>0</x:v>
      </x:c>
      <x:c r="H55" s="2" t="n">
        <x:f>IFERROR(E55/F55,0)</x:f>
        <x:v>1</x:v>
      </x:c>
      <x:c r="I55" t="str">
        <x:v>Adequado</x:v>
      </x:c>
      <x:c r="J55" t="str">
        <x:v>CAEd_DadosExportados (3).zip</x:v>
      </x:c>
    </x:row>
    <x:row r="56">
      <x:c r="A56" t="str">
        <x:v>1A004</x:v>
      </x:c>
      <x:c r="B56" t="str">
        <x:v>1º ano</x:v>
      </x:c>
      <x:c r="C56" t="str">
        <x:v>contraprova</x:v>
      </x:c>
      <x:c r="D56" t="str">
        <x:v>H04</x:v>
      </x:c>
      <x:c r="E56" t="n">
        <x:v>2</x:v>
      </x:c>
      <x:c r="F56" t="n">
        <x:v>3</x:v>
      </x:c>
      <x:c r="G56" t="n">
        <x:f>F56-E56</x:f>
        <x:v>1</x:v>
      </x:c>
      <x:c r="H56" s="2" t="n">
        <x:f>IFERROR(E56/F56,0)</x:f>
        <x:v>0.6666666666666666</x:v>
      </x:c>
      <x:c r="I56" t="str">
        <x:v>Adequado</x:v>
      </x:c>
      <x:c r="J56" t="str">
        <x:v>CAEd_DadosExportados (3).zip</x:v>
      </x:c>
    </x:row>
    <x:row r="57">
      <x:c r="A57" t="str">
        <x:v>1A004</x:v>
      </x:c>
      <x:c r="B57" t="str">
        <x:v>1º ano</x:v>
      </x:c>
      <x:c r="C57" t="str">
        <x:v>contraprova</x:v>
      </x:c>
      <x:c r="D57" t="str">
        <x:v>H05</x:v>
      </x:c>
      <x:c r="E57" t="n">
        <x:v>1</x:v>
      </x:c>
      <x:c r="F57" t="n">
        <x:v>3</x:v>
      </x:c>
      <x:c r="G57" t="n">
        <x:f>F57-E57</x:f>
        <x:v>2</x:v>
      </x:c>
      <x:c r="H57" s="2" t="n">
        <x:f>IFERROR(E57/F57,0)</x:f>
        <x:v>0.3333333333333333</x:v>
      </x:c>
      <x:c r="I57" t="str">
        <x:v>Adequado</x:v>
      </x:c>
      <x:c r="J57" t="str">
        <x:v>CAEd_DadosExportados (3).zip</x:v>
      </x:c>
    </x:row>
    <x:row r="58">
      <x:c r="A58" t="str">
        <x:v>1A004</x:v>
      </x:c>
      <x:c r="B58" t="str">
        <x:v>1º ano</x:v>
      </x:c>
      <x:c r="C58" t="str">
        <x:v>contraprova</x:v>
      </x:c>
      <x:c r="D58" t="str">
        <x:v>H06</x:v>
      </x:c>
      <x:c r="E58" t="n">
        <x:v>3</x:v>
      </x:c>
      <x:c r="F58" t="n">
        <x:v>3</x:v>
      </x:c>
      <x:c r="G58" t="n">
        <x:f>F58-E58</x:f>
        <x:v>0</x:v>
      </x:c>
      <x:c r="H58" s="2" t="n">
        <x:f>IFERROR(E58/F58,0)</x:f>
        <x:v>1</x:v>
      </x:c>
      <x:c r="I58" t="str">
        <x:v>Adequado</x:v>
      </x:c>
      <x:c r="J58" t="str">
        <x:v>CAEd_DadosExportados (3).zip</x:v>
      </x:c>
    </x:row>
    <x:row r="59">
      <x:c r="A59" t="str">
        <x:v>1A004</x:v>
      </x:c>
      <x:c r="B59" t="str">
        <x:v>1º ano</x:v>
      </x:c>
      <x:c r="C59" t="str">
        <x:v>contraprova</x:v>
      </x:c>
      <x:c r="D59" t="str">
        <x:v>H07</x:v>
      </x:c>
      <x:c r="E59" t="n">
        <x:v>2</x:v>
      </x:c>
      <x:c r="F59" t="n">
        <x:v>2</x:v>
      </x:c>
      <x:c r="G59" t="n">
        <x:f>F59-E59</x:f>
        <x:v>0</x:v>
      </x:c>
      <x:c r="H59" s="2" t="n">
        <x:f>IFERROR(E59/F59,0)</x:f>
        <x:v>1</x:v>
      </x:c>
      <x:c r="I59" t="str">
        <x:v>Adequado</x:v>
      </x:c>
      <x:c r="J59" t="str">
        <x:v>CAEd_DadosExportados (3).zip</x:v>
      </x:c>
    </x:row>
    <x:row r="60">
      <x:c r="A60" t="str">
        <x:v>1A004</x:v>
      </x:c>
      <x:c r="B60" t="str">
        <x:v>1º ano</x:v>
      </x:c>
      <x:c r="C60" t="str">
        <x:v>contraprova</x:v>
      </x:c>
      <x:c r="D60" t="str">
        <x:v>H08</x:v>
      </x:c>
      <x:c r="E60" t="n">
        <x:v>1</x:v>
      </x:c>
      <x:c r="F60" t="n">
        <x:v>2</x:v>
      </x:c>
      <x:c r="G60" t="n">
        <x:f>F60-E60</x:f>
        <x:v>1</x:v>
      </x:c>
      <x:c r="H60" s="2" t="n">
        <x:f>IFERROR(E60/F60,0)</x:f>
        <x:v>0.5</x:v>
      </x:c>
      <x:c r="I60" t="str">
        <x:v>Adequado</x:v>
      </x:c>
      <x:c r="J60" t="str">
        <x:v>CAEd_DadosExportados (3).zip</x:v>
      </x:c>
    </x:row>
    <x:row r="61">
      <x:c r="A61" t="str">
        <x:v>1A004</x:v>
      </x:c>
      <x:c r="B61" t="str">
        <x:v>1º ano</x:v>
      </x:c>
      <x:c r="C61" t="str">
        <x:v>contraprova</x:v>
      </x:c>
      <x:c r="D61" t="str">
        <x:v>H09</x:v>
      </x:c>
      <x:c r="E61" t="n">
        <x:v>2</x:v>
      </x:c>
      <x:c r="F61" t="n">
        <x:v>2</x:v>
      </x:c>
      <x:c r="G61" t="n">
        <x:f>F61-E61</x:f>
        <x:v>0</x:v>
      </x:c>
      <x:c r="H61" s="2" t="n">
        <x:f>IFERROR(E61/F61,0)</x:f>
        <x:v>1</x:v>
      </x:c>
      <x:c r="I61" t="str">
        <x:v>Adequado</x:v>
      </x:c>
      <x:c r="J61" t="str">
        <x:v>CAEd_DadosExportados (3).zip</x:v>
      </x:c>
    </x:row>
    <x:row r="62">
      <x:c r="A62" t="str">
        <x:v>1A004</x:v>
      </x:c>
      <x:c r="B62" t="str">
        <x:v>1º ano</x:v>
      </x:c>
      <x:c r="C62" t="str">
        <x:v>referencia</x:v>
      </x:c>
      <x:c r="D62" t="str">
        <x:v>H01</x:v>
      </x:c>
      <x:c r="E62" t="n">
        <x:v>3</x:v>
      </x:c>
      <x:c r="F62" t="n">
        <x:v>3</x:v>
      </x:c>
      <x:c r="G62" t="n">
        <x:f>F62-E62</x:f>
        <x:v>0</x:v>
      </x:c>
      <x:c r="H62" s="2" t="n">
        <x:f>IFERROR(E62/F62,0)</x:f>
        <x:v>1</x:v>
      </x:c>
      <x:c r="I62" t="str">
        <x:v>Adequado</x:v>
      </x:c>
      <x:c r="J62" t="str">
        <x:v>CAEd_DadosExportados.zip</x:v>
      </x:c>
    </x:row>
    <x:row r="63">
      <x:c r="A63" t="str">
        <x:v>1A004</x:v>
      </x:c>
      <x:c r="B63" t="str">
        <x:v>1º ano</x:v>
      </x:c>
      <x:c r="C63" t="str">
        <x:v>referencia</x:v>
      </x:c>
      <x:c r="D63" t="str">
        <x:v>H02</x:v>
      </x:c>
      <x:c r="E63" t="n">
        <x:v>3</x:v>
      </x:c>
      <x:c r="F63" t="n">
        <x:v>3</x:v>
      </x:c>
      <x:c r="G63" t="n">
        <x:f>F63-E63</x:f>
        <x:v>0</x:v>
      </x:c>
      <x:c r="H63" s="2" t="n">
        <x:f>IFERROR(E63/F63,0)</x:f>
        <x:v>1</x:v>
      </x:c>
      <x:c r="I63" t="str">
        <x:v>Adequado</x:v>
      </x:c>
      <x:c r="J63" t="str">
        <x:v>CAEd_DadosExportados.zip</x:v>
      </x:c>
    </x:row>
    <x:row r="64">
      <x:c r="A64" t="str">
        <x:v>1A004</x:v>
      </x:c>
      <x:c r="B64" t="str">
        <x:v>1º ano</x:v>
      </x:c>
      <x:c r="C64" t="str">
        <x:v>referencia</x:v>
      </x:c>
      <x:c r="D64" t="str">
        <x:v>H03</x:v>
      </x:c>
      <x:c r="E64" t="n">
        <x:v>1</x:v>
      </x:c>
      <x:c r="F64" t="n">
        <x:v>3</x:v>
      </x:c>
      <x:c r="G64" t="n">
        <x:f>F64-E64</x:f>
        <x:v>2</x:v>
      </x:c>
      <x:c r="H64" s="2" t="n">
        <x:f>IFERROR(E64/F64,0)</x:f>
        <x:v>0.3333333333333333</x:v>
      </x:c>
      <x:c r="I64" t="str">
        <x:v>Adequado</x:v>
      </x:c>
      <x:c r="J64" t="str">
        <x:v>CAEd_DadosExportados.zip</x:v>
      </x:c>
    </x:row>
    <x:row r="65">
      <x:c r="A65" t="str">
        <x:v>1A004</x:v>
      </x:c>
      <x:c r="B65" t="str">
        <x:v>1º ano</x:v>
      </x:c>
      <x:c r="C65" t="str">
        <x:v>referencia</x:v>
      </x:c>
      <x:c r="D65" t="str">
        <x:v>H04</x:v>
      </x:c>
      <x:c r="E65" t="n">
        <x:v>0</x:v>
      </x:c>
      <x:c r="F65" t="n">
        <x:v>3</x:v>
      </x:c>
      <x:c r="G65" t="n">
        <x:f>F65-E65</x:f>
        <x:v>3</x:v>
      </x:c>
      <x:c r="H65" s="2" t="n">
        <x:f>IFERROR(E65/F65,0)</x:f>
        <x:v>0</x:v>
      </x:c>
      <x:c r="I65" t="str">
        <x:v>Adequado</x:v>
      </x:c>
      <x:c r="J65" t="str">
        <x:v>CAEd_DadosExportados.zip</x:v>
      </x:c>
    </x:row>
    <x:row r="66">
      <x:c r="A66" t="str">
        <x:v>1A004</x:v>
      </x:c>
      <x:c r="B66" t="str">
        <x:v>1º ano</x:v>
      </x:c>
      <x:c r="C66" t="str">
        <x:v>referencia</x:v>
      </x:c>
      <x:c r="D66" t="str">
        <x:v>H05</x:v>
      </x:c>
      <x:c r="E66" t="n">
        <x:v>3</x:v>
      </x:c>
      <x:c r="F66" t="n">
        <x:v>3</x:v>
      </x:c>
      <x:c r="G66" t="n">
        <x:f>F66-E66</x:f>
        <x:v>0</x:v>
      </x:c>
      <x:c r="H66" s="2" t="n">
        <x:f>IFERROR(E66/F66,0)</x:f>
        <x:v>1</x:v>
      </x:c>
      <x:c r="I66" t="str">
        <x:v>Adequado</x:v>
      </x:c>
      <x:c r="J66" t="str">
        <x:v>CAEd_DadosExportados.zip</x:v>
      </x:c>
    </x:row>
    <x:row r="67">
      <x:c r="A67" t="str">
        <x:v>1A004</x:v>
      </x:c>
      <x:c r="B67" t="str">
        <x:v>1º ano</x:v>
      </x:c>
      <x:c r="C67" t="str">
        <x:v>referencia</x:v>
      </x:c>
      <x:c r="D67" t="str">
        <x:v>H06</x:v>
      </x:c>
      <x:c r="E67" t="n">
        <x:v>2</x:v>
      </x:c>
      <x:c r="F67" t="n">
        <x:v>3</x:v>
      </x:c>
      <x:c r="G67" t="n">
        <x:f>F67-E67</x:f>
        <x:v>1</x:v>
      </x:c>
      <x:c r="H67" s="2" t="n">
        <x:f>IFERROR(E67/F67,0)</x:f>
        <x:v>0.6666666666666666</x:v>
      </x:c>
      <x:c r="I67" t="str">
        <x:v>Adequado</x:v>
      </x:c>
      <x:c r="J67" t="str">
        <x:v>CAEd_DadosExportados.zip</x:v>
      </x:c>
    </x:row>
    <x:row r="68">
      <x:c r="A68" t="str">
        <x:v>1A004</x:v>
      </x:c>
      <x:c r="B68" t="str">
        <x:v>1º ano</x:v>
      </x:c>
      <x:c r="C68" t="str">
        <x:v>referencia</x:v>
      </x:c>
      <x:c r="D68" t="str">
        <x:v>H07</x:v>
      </x:c>
      <x:c r="E68" t="n">
        <x:v>2</x:v>
      </x:c>
      <x:c r="F68" t="n">
        <x:v>2</x:v>
      </x:c>
      <x:c r="G68" t="n">
        <x:f>F68-E68</x:f>
        <x:v>0</x:v>
      </x:c>
      <x:c r="H68" s="2" t="n">
        <x:f>IFERROR(E68/F68,0)</x:f>
        <x:v>1</x:v>
      </x:c>
      <x:c r="I68" t="str">
        <x:v>Adequado</x:v>
      </x:c>
      <x:c r="J68" t="str">
        <x:v>CAEd_DadosExportados.zip</x:v>
      </x:c>
    </x:row>
    <x:row r="69">
      <x:c r="A69" t="str">
        <x:v>1A004</x:v>
      </x:c>
      <x:c r="B69" t="str">
        <x:v>1º ano</x:v>
      </x:c>
      <x:c r="C69" t="str">
        <x:v>referencia</x:v>
      </x:c>
      <x:c r="D69" t="str">
        <x:v>H08</x:v>
      </x:c>
      <x:c r="E69" t="n">
        <x:v>2</x:v>
      </x:c>
      <x:c r="F69" t="n">
        <x:v>2</x:v>
      </x:c>
      <x:c r="G69" t="n">
        <x:f>F69-E69</x:f>
        <x:v>0</x:v>
      </x:c>
      <x:c r="H69" s="2" t="n">
        <x:f>IFERROR(E69/F69,0)</x:f>
        <x:v>1</x:v>
      </x:c>
      <x:c r="I69" t="str">
        <x:v>Adequado</x:v>
      </x:c>
      <x:c r="J69" t="str">
        <x:v>CAEd_DadosExportados.zip</x:v>
      </x:c>
    </x:row>
    <x:row r="70">
      <x:c r="A70" t="str">
        <x:v>1A005</x:v>
      </x:c>
      <x:c r="B70" t="str">
        <x:v>1º ano</x:v>
      </x:c>
      <x:c r="C70" t="str">
        <x:v>contraprova</x:v>
      </x:c>
      <x:c r="D70" t="str">
        <x:v>H01</x:v>
      </x:c>
      <x:c r="E70" t="n">
        <x:v>1</x:v>
      </x:c>
      <x:c r="F70" t="n">
        <x:v>2</x:v>
      </x:c>
      <x:c r="G70" t="n">
        <x:f>F70-E70</x:f>
        <x:v>1</x:v>
      </x:c>
      <x:c r="H70" s="2" t="n">
        <x:f>IFERROR(E70/F70,0)</x:f>
        <x:v>0.5</x:v>
      </x:c>
      <x:c r="I70" t="str">
        <x:v>Intermediário</x:v>
      </x:c>
      <x:c r="J70" t="str">
        <x:v>CAEd_DadosExportados (3).zip</x:v>
      </x:c>
    </x:row>
    <x:row r="71">
      <x:c r="A71" t="str">
        <x:v>1A005</x:v>
      </x:c>
      <x:c r="B71" t="str">
        <x:v>1º ano</x:v>
      </x:c>
      <x:c r="C71" t="str">
        <x:v>contraprova</x:v>
      </x:c>
      <x:c r="D71" t="str">
        <x:v>H02</x:v>
      </x:c>
      <x:c r="E71" t="n">
        <x:v>1</x:v>
      </x:c>
      <x:c r="F71" t="n">
        <x:v>2</x:v>
      </x:c>
      <x:c r="G71" t="n">
        <x:f>F71-E71</x:f>
        <x:v>1</x:v>
      </x:c>
      <x:c r="H71" s="2" t="n">
        <x:f>IFERROR(E71/F71,0)</x:f>
        <x:v>0.5</x:v>
      </x:c>
      <x:c r="I71" t="str">
        <x:v>Intermediário</x:v>
      </x:c>
      <x:c r="J71" t="str">
        <x:v>CAEd_DadosExportados (3).zip</x:v>
      </x:c>
    </x:row>
    <x:row r="72">
      <x:c r="A72" t="str">
        <x:v>1A005</x:v>
      </x:c>
      <x:c r="B72" t="str">
        <x:v>1º ano</x:v>
      </x:c>
      <x:c r="C72" t="str">
        <x:v>contraprova</x:v>
      </x:c>
      <x:c r="D72" t="str">
        <x:v>H03</x:v>
      </x:c>
      <x:c r="E72" t="n">
        <x:v>2</x:v>
      </x:c>
      <x:c r="F72" t="n">
        <x:v>3</x:v>
      </x:c>
      <x:c r="G72" t="n">
        <x:f>F72-E72</x:f>
        <x:v>1</x:v>
      </x:c>
      <x:c r="H72" s="2" t="n">
        <x:f>IFERROR(E72/F72,0)</x:f>
        <x:v>0.6666666666666666</x:v>
      </x:c>
      <x:c r="I72" t="str">
        <x:v>Intermediário</x:v>
      </x:c>
      <x:c r="J72" t="str">
        <x:v>CAEd_DadosExportados (3).zip</x:v>
      </x:c>
    </x:row>
    <x:row r="73">
      <x:c r="A73" t="str">
        <x:v>1A005</x:v>
      </x:c>
      <x:c r="B73" t="str">
        <x:v>1º ano</x:v>
      </x:c>
      <x:c r="C73" t="str">
        <x:v>contraprova</x:v>
      </x:c>
      <x:c r="D73" t="str">
        <x:v>H04</x:v>
      </x:c>
      <x:c r="E73" t="n">
        <x:v>1</x:v>
      </x:c>
      <x:c r="F73" t="n">
        <x:v>3</x:v>
      </x:c>
      <x:c r="G73" t="n">
        <x:f>F73-E73</x:f>
        <x:v>2</x:v>
      </x:c>
      <x:c r="H73" s="2" t="n">
        <x:f>IFERROR(E73/F73,0)</x:f>
        <x:v>0.3333333333333333</x:v>
      </x:c>
      <x:c r="I73" t="str">
        <x:v>Intermediário</x:v>
      </x:c>
      <x:c r="J73" t="str">
        <x:v>CAEd_DadosExportados (3).zip</x:v>
      </x:c>
    </x:row>
    <x:row r="74">
      <x:c r="A74" t="str">
        <x:v>1A005</x:v>
      </x:c>
      <x:c r="B74" t="str">
        <x:v>1º ano</x:v>
      </x:c>
      <x:c r="C74" t="str">
        <x:v>contraprova</x:v>
      </x:c>
      <x:c r="D74" t="str">
        <x:v>H05</x:v>
      </x:c>
      <x:c r="E74" t="n">
        <x:v>2</x:v>
      </x:c>
      <x:c r="F74" t="n">
        <x:v>3</x:v>
      </x:c>
      <x:c r="G74" t="n">
        <x:f>F74-E74</x:f>
        <x:v>1</x:v>
      </x:c>
      <x:c r="H74" s="2" t="n">
        <x:f>IFERROR(E74/F74,0)</x:f>
        <x:v>0.6666666666666666</x:v>
      </x:c>
      <x:c r="I74" t="str">
        <x:v>Intermediário</x:v>
      </x:c>
      <x:c r="J74" t="str">
        <x:v>CAEd_DadosExportados (3).zip</x:v>
      </x:c>
    </x:row>
    <x:row r="75">
      <x:c r="A75" t="str">
        <x:v>1A005</x:v>
      </x:c>
      <x:c r="B75" t="str">
        <x:v>1º ano</x:v>
      </x:c>
      <x:c r="C75" t="str">
        <x:v>contraprova</x:v>
      </x:c>
      <x:c r="D75" t="str">
        <x:v>H06</x:v>
      </x:c>
      <x:c r="E75" t="n">
        <x:v>2</x:v>
      </x:c>
      <x:c r="F75" t="n">
        <x:v>3</x:v>
      </x:c>
      <x:c r="G75" t="n">
        <x:f>F75-E75</x:f>
        <x:v>1</x:v>
      </x:c>
      <x:c r="H75" s="2" t="n">
        <x:f>IFERROR(E75/F75,0)</x:f>
        <x:v>0.6666666666666666</x:v>
      </x:c>
      <x:c r="I75" t="str">
        <x:v>Intermediário</x:v>
      </x:c>
      <x:c r="J75" t="str">
        <x:v>CAEd_DadosExportados (3).zip</x:v>
      </x:c>
    </x:row>
    <x:row r="76">
      <x:c r="A76" t="str">
        <x:v>1A005</x:v>
      </x:c>
      <x:c r="B76" t="str">
        <x:v>1º ano</x:v>
      </x:c>
      <x:c r="C76" t="str">
        <x:v>contraprova</x:v>
      </x:c>
      <x:c r="D76" t="str">
        <x:v>H07</x:v>
      </x:c>
      <x:c r="E76" t="n">
        <x:v>0</x:v>
      </x:c>
      <x:c r="F76" t="n">
        <x:v>2</x:v>
      </x:c>
      <x:c r="G76" t="n">
        <x:f>F76-E76</x:f>
        <x:v>2</x:v>
      </x:c>
      <x:c r="H76" s="2" t="n">
        <x:f>IFERROR(E76/F76,0)</x:f>
        <x:v>0</x:v>
      </x:c>
      <x:c r="I76" t="str">
        <x:v>Intermediário</x:v>
      </x:c>
      <x:c r="J76" t="str">
        <x:v>CAEd_DadosExportados (3).zip</x:v>
      </x:c>
    </x:row>
    <x:row r="77">
      <x:c r="A77" t="str">
        <x:v>1A005</x:v>
      </x:c>
      <x:c r="B77" t="str">
        <x:v>1º ano</x:v>
      </x:c>
      <x:c r="C77" t="str">
        <x:v>contraprova</x:v>
      </x:c>
      <x:c r="D77" t="str">
        <x:v>H08</x:v>
      </x:c>
      <x:c r="E77" t="n">
        <x:v>2</x:v>
      </x:c>
      <x:c r="F77" t="n">
        <x:v>2</x:v>
      </x:c>
      <x:c r="G77" t="n">
        <x:f>F77-E77</x:f>
        <x:v>0</x:v>
      </x:c>
      <x:c r="H77" s="2" t="n">
        <x:f>IFERROR(E77/F77,0)</x:f>
        <x:v>1</x:v>
      </x:c>
      <x:c r="I77" t="str">
        <x:v>Intermediário</x:v>
      </x:c>
      <x:c r="J77" t="str">
        <x:v>CAEd_DadosExportados (3).zip</x:v>
      </x:c>
    </x:row>
    <x:row r="78">
      <x:c r="A78" t="str">
        <x:v>1A005</x:v>
      </x:c>
      <x:c r="B78" t="str">
        <x:v>1º ano</x:v>
      </x:c>
      <x:c r="C78" t="str">
        <x:v>contraprova</x:v>
      </x:c>
      <x:c r="D78" t="str">
        <x:v>H09</x:v>
      </x:c>
      <x:c r="E78" t="n">
        <x:v>2</x:v>
      </x:c>
      <x:c r="F78" t="n">
        <x:v>2</x:v>
      </x:c>
      <x:c r="G78" t="n">
        <x:f>F78-E78</x:f>
        <x:v>0</x:v>
      </x:c>
      <x:c r="H78" s="2" t="n">
        <x:f>IFERROR(E78/F78,0)</x:f>
        <x:v>1</x:v>
      </x:c>
      <x:c r="I78" t="str">
        <x:v>Intermediário</x:v>
      </x:c>
      <x:c r="J78" t="str">
        <x:v>CAEd_DadosExportados (3).zip</x:v>
      </x:c>
    </x:row>
    <x:row r="79">
      <x:c r="A79" t="str">
        <x:v>1A005</x:v>
      </x:c>
      <x:c r="B79" t="str">
        <x:v>1º ano</x:v>
      </x:c>
      <x:c r="C79" t="str">
        <x:v>referencia</x:v>
      </x:c>
      <x:c r="D79" t="str">
        <x:v>H01</x:v>
      </x:c>
      <x:c r="E79" t="n">
        <x:v>1</x:v>
      </x:c>
      <x:c r="F79" t="n">
        <x:v>3</x:v>
      </x:c>
      <x:c r="G79" t="n">
        <x:f>F79-E79</x:f>
        <x:v>2</x:v>
      </x:c>
      <x:c r="H79" s="2" t="n">
        <x:f>IFERROR(E79/F79,0)</x:f>
        <x:v>0.3333333333333333</x:v>
      </x:c>
      <x:c r="I79" t="str">
        <x:v>Adequado</x:v>
      </x:c>
      <x:c r="J79" t="str">
        <x:v>CAEd_DadosExportados.zip</x:v>
      </x:c>
    </x:row>
    <x:row r="80">
      <x:c r="A80" t="str">
        <x:v>1A005</x:v>
      </x:c>
      <x:c r="B80" t="str">
        <x:v>1º ano</x:v>
      </x:c>
      <x:c r="C80" t="str">
        <x:v>referencia</x:v>
      </x:c>
      <x:c r="D80" t="str">
        <x:v>H02</x:v>
      </x:c>
      <x:c r="E80" t="n">
        <x:v>3</x:v>
      </x:c>
      <x:c r="F80" t="n">
        <x:v>3</x:v>
      </x:c>
      <x:c r="G80" t="n">
        <x:f>F80-E80</x:f>
        <x:v>0</x:v>
      </x:c>
      <x:c r="H80" s="2" t="n">
        <x:f>IFERROR(E80/F80,0)</x:f>
        <x:v>1</x:v>
      </x:c>
      <x:c r="I80" t="str">
        <x:v>Adequado</x:v>
      </x:c>
      <x:c r="J80" t="str">
        <x:v>CAEd_DadosExportados.zip</x:v>
      </x:c>
    </x:row>
    <x:row r="81">
      <x:c r="A81" t="str">
        <x:v>1A005</x:v>
      </x:c>
      <x:c r="B81" t="str">
        <x:v>1º ano</x:v>
      </x:c>
      <x:c r="C81" t="str">
        <x:v>referencia</x:v>
      </x:c>
      <x:c r="D81" t="str">
        <x:v>H03</x:v>
      </x:c>
      <x:c r="E81" t="n">
        <x:v>3</x:v>
      </x:c>
      <x:c r="F81" t="n">
        <x:v>3</x:v>
      </x:c>
      <x:c r="G81" t="n">
        <x:f>F81-E81</x:f>
        <x:v>0</x:v>
      </x:c>
      <x:c r="H81" s="2" t="n">
        <x:f>IFERROR(E81/F81,0)</x:f>
        <x:v>1</x:v>
      </x:c>
      <x:c r="I81" t="str">
        <x:v>Adequado</x:v>
      </x:c>
      <x:c r="J81" t="str">
        <x:v>CAEd_DadosExportados.zip</x:v>
      </x:c>
    </x:row>
    <x:row r="82">
      <x:c r="A82" t="str">
        <x:v>1A005</x:v>
      </x:c>
      <x:c r="B82" t="str">
        <x:v>1º ano</x:v>
      </x:c>
      <x:c r="C82" t="str">
        <x:v>referencia</x:v>
      </x:c>
      <x:c r="D82" t="str">
        <x:v>H04</x:v>
      </x:c>
      <x:c r="E82" t="n">
        <x:v>1</x:v>
      </x:c>
      <x:c r="F82" t="n">
        <x:v>3</x:v>
      </x:c>
      <x:c r="G82" t="n">
        <x:f>F82-E82</x:f>
        <x:v>2</x:v>
      </x:c>
      <x:c r="H82" s="2" t="n">
        <x:f>IFERROR(E82/F82,0)</x:f>
        <x:v>0.3333333333333333</x:v>
      </x:c>
      <x:c r="I82" t="str">
        <x:v>Adequado</x:v>
      </x:c>
      <x:c r="J82" t="str">
        <x:v>CAEd_DadosExportados.zip</x:v>
      </x:c>
    </x:row>
    <x:row r="83">
      <x:c r="A83" t="str">
        <x:v>1A005</x:v>
      </x:c>
      <x:c r="B83" t="str">
        <x:v>1º ano</x:v>
      </x:c>
      <x:c r="C83" t="str">
        <x:v>referencia</x:v>
      </x:c>
      <x:c r="D83" t="str">
        <x:v>H05</x:v>
      </x:c>
      <x:c r="E83" t="n">
        <x:v>3</x:v>
      </x:c>
      <x:c r="F83" t="n">
        <x:v>3</x:v>
      </x:c>
      <x:c r="G83" t="n">
        <x:f>F83-E83</x:f>
        <x:v>0</x:v>
      </x:c>
      <x:c r="H83" s="2" t="n">
        <x:f>IFERROR(E83/F83,0)</x:f>
        <x:v>1</x:v>
      </x:c>
      <x:c r="I83" t="str">
        <x:v>Adequado</x:v>
      </x:c>
      <x:c r="J83" t="str">
        <x:v>CAEd_DadosExportados.zip</x:v>
      </x:c>
    </x:row>
    <x:row r="84">
      <x:c r="A84" t="str">
        <x:v>1A005</x:v>
      </x:c>
      <x:c r="B84" t="str">
        <x:v>1º ano</x:v>
      </x:c>
      <x:c r="C84" t="str">
        <x:v>referencia</x:v>
      </x:c>
      <x:c r="D84" t="str">
        <x:v>H06</x:v>
      </x:c>
      <x:c r="E84" t="n">
        <x:v>2</x:v>
      </x:c>
      <x:c r="F84" t="n">
        <x:v>3</x:v>
      </x:c>
      <x:c r="G84" t="n">
        <x:f>F84-E84</x:f>
        <x:v>1</x:v>
      </x:c>
      <x:c r="H84" s="2" t="n">
        <x:f>IFERROR(E84/F84,0)</x:f>
        <x:v>0.6666666666666666</x:v>
      </x:c>
      <x:c r="I84" t="str">
        <x:v>Adequado</x:v>
      </x:c>
      <x:c r="J84" t="str">
        <x:v>CAEd_DadosExportados.zip</x:v>
      </x:c>
    </x:row>
    <x:row r="85">
      <x:c r="A85" t="str">
        <x:v>1A005</x:v>
      </x:c>
      <x:c r="B85" t="str">
        <x:v>1º ano</x:v>
      </x:c>
      <x:c r="C85" t="str">
        <x:v>referencia</x:v>
      </x:c>
      <x:c r="D85" t="str">
        <x:v>H07</x:v>
      </x:c>
      <x:c r="E85" t="n">
        <x:v>1</x:v>
      </x:c>
      <x:c r="F85" t="n">
        <x:v>2</x:v>
      </x:c>
      <x:c r="G85" t="n">
        <x:f>F85-E85</x:f>
        <x:v>1</x:v>
      </x:c>
      <x:c r="H85" s="2" t="n">
        <x:f>IFERROR(E85/F85,0)</x:f>
        <x:v>0.5</x:v>
      </x:c>
      <x:c r="I85" t="str">
        <x:v>Adequado</x:v>
      </x:c>
      <x:c r="J85" t="str">
        <x:v>CAEd_DadosExportados.zip</x:v>
      </x:c>
    </x:row>
    <x:row r="86">
      <x:c r="A86" t="str">
        <x:v>1A005</x:v>
      </x:c>
      <x:c r="B86" t="str">
        <x:v>1º ano</x:v>
      </x:c>
      <x:c r="C86" t="str">
        <x:v>referencia</x:v>
      </x:c>
      <x:c r="D86" t="str">
        <x:v>H08</x:v>
      </x:c>
      <x:c r="E86" t="n">
        <x:v>2</x:v>
      </x:c>
      <x:c r="F86" t="n">
        <x:v>2</x:v>
      </x:c>
      <x:c r="G86" t="n">
        <x:f>F86-E86</x:f>
        <x:v>0</x:v>
      </x:c>
      <x:c r="H86" s="2" t="n">
        <x:f>IFERROR(E86/F86,0)</x:f>
        <x:v>1</x:v>
      </x:c>
      <x:c r="I86" t="str">
        <x:v>Adequado</x:v>
      </x:c>
      <x:c r="J86" t="str">
        <x:v>CAEd_DadosExportados.zip</x:v>
      </x:c>
    </x:row>
    <x:row r="87">
      <x:c r="A87" t="str">
        <x:v>1A006</x:v>
      </x:c>
      <x:c r="B87" t="str">
        <x:v>1º ano</x:v>
      </x:c>
      <x:c r="C87" t="str">
        <x:v>contraprova</x:v>
      </x:c>
      <x:c r="D87" t="str">
        <x:v>H01</x:v>
      </x:c>
      <x:c r="E87" t="n">
        <x:v>2</x:v>
      </x:c>
      <x:c r="F87" t="n">
        <x:v>2</x:v>
      </x:c>
      <x:c r="G87" t="n">
        <x:f>F87-E87</x:f>
        <x:v>0</x:v>
      </x:c>
      <x:c r="H87" s="2" t="n">
        <x:f>IFERROR(E87/F87,0)</x:f>
        <x:v>1</x:v>
      </x:c>
      <x:c r="I87" t="str">
        <x:v>Intermediário</x:v>
      </x:c>
      <x:c r="J87" t="str">
        <x:v>CAEd_DadosExportados (3).zip</x:v>
      </x:c>
    </x:row>
    <x:row r="88">
      <x:c r="A88" t="str">
        <x:v>1A006</x:v>
      </x:c>
      <x:c r="B88" t="str">
        <x:v>1º ano</x:v>
      </x:c>
      <x:c r="C88" t="str">
        <x:v>contraprova</x:v>
      </x:c>
      <x:c r="D88" t="str">
        <x:v>H02</x:v>
      </x:c>
      <x:c r="E88" t="n">
        <x:v>1</x:v>
      </x:c>
      <x:c r="F88" t="n">
        <x:v>2</x:v>
      </x:c>
      <x:c r="G88" t="n">
        <x:f>F88-E88</x:f>
        <x:v>1</x:v>
      </x:c>
      <x:c r="H88" s="2" t="n">
        <x:f>IFERROR(E88/F88,0)</x:f>
        <x:v>0.5</x:v>
      </x:c>
      <x:c r="I88" t="str">
        <x:v>Intermediário</x:v>
      </x:c>
      <x:c r="J88" t="str">
        <x:v>CAEd_DadosExportados (3).zip</x:v>
      </x:c>
    </x:row>
    <x:row r="89">
      <x:c r="A89" t="str">
        <x:v>1A006</x:v>
      </x:c>
      <x:c r="B89" t="str">
        <x:v>1º ano</x:v>
      </x:c>
      <x:c r="C89" t="str">
        <x:v>contraprova</x:v>
      </x:c>
      <x:c r="D89" t="str">
        <x:v>H03</x:v>
      </x:c>
      <x:c r="E89" t="n">
        <x:v>2</x:v>
      </x:c>
      <x:c r="F89" t="n">
        <x:v>3</x:v>
      </x:c>
      <x:c r="G89" t="n">
        <x:f>F89-E89</x:f>
        <x:v>1</x:v>
      </x:c>
      <x:c r="H89" s="2" t="n">
        <x:f>IFERROR(E89/F89,0)</x:f>
        <x:v>0.6666666666666666</x:v>
      </x:c>
      <x:c r="I89" t="str">
        <x:v>Intermediário</x:v>
      </x:c>
      <x:c r="J89" t="str">
        <x:v>CAEd_DadosExportados (3).zip</x:v>
      </x:c>
    </x:row>
    <x:row r="90">
      <x:c r="A90" t="str">
        <x:v>1A006</x:v>
      </x:c>
      <x:c r="B90" t="str">
        <x:v>1º ano</x:v>
      </x:c>
      <x:c r="C90" t="str">
        <x:v>contraprova</x:v>
      </x:c>
      <x:c r="D90" t="str">
        <x:v>H04</x:v>
      </x:c>
      <x:c r="E90" t="n">
        <x:v>1</x:v>
      </x:c>
      <x:c r="F90" t="n">
        <x:v>3</x:v>
      </x:c>
      <x:c r="G90" t="n">
        <x:f>F90-E90</x:f>
        <x:v>2</x:v>
      </x:c>
      <x:c r="H90" s="2" t="n">
        <x:f>IFERROR(E90/F90,0)</x:f>
        <x:v>0.3333333333333333</x:v>
      </x:c>
      <x:c r="I90" t="str">
        <x:v>Intermediário</x:v>
      </x:c>
      <x:c r="J90" t="str">
        <x:v>CAEd_DadosExportados (3).zip</x:v>
      </x:c>
    </x:row>
    <x:row r="91">
      <x:c r="A91" t="str">
        <x:v>1A006</x:v>
      </x:c>
      <x:c r="B91" t="str">
        <x:v>1º ano</x:v>
      </x:c>
      <x:c r="C91" t="str">
        <x:v>contraprova</x:v>
      </x:c>
      <x:c r="D91" t="str">
        <x:v>H05</x:v>
      </x:c>
      <x:c r="E91" t="n">
        <x:v>1</x:v>
      </x:c>
      <x:c r="F91" t="n">
        <x:v>3</x:v>
      </x:c>
      <x:c r="G91" t="n">
        <x:f>F91-E91</x:f>
        <x:v>2</x:v>
      </x:c>
      <x:c r="H91" s="2" t="n">
        <x:f>IFERROR(E91/F91,0)</x:f>
        <x:v>0.3333333333333333</x:v>
      </x:c>
      <x:c r="I91" t="str">
        <x:v>Intermediário</x:v>
      </x:c>
      <x:c r="J91" t="str">
        <x:v>CAEd_DadosExportados (3).zip</x:v>
      </x:c>
    </x:row>
    <x:row r="92">
      <x:c r="A92" t="str">
        <x:v>1A006</x:v>
      </x:c>
      <x:c r="B92" t="str">
        <x:v>1º ano</x:v>
      </x:c>
      <x:c r="C92" t="str">
        <x:v>contraprova</x:v>
      </x:c>
      <x:c r="D92" t="str">
        <x:v>H06</x:v>
      </x:c>
      <x:c r="E92" t="n">
        <x:v>3</x:v>
      </x:c>
      <x:c r="F92" t="n">
        <x:v>3</x:v>
      </x:c>
      <x:c r="G92" t="n">
        <x:f>F92-E92</x:f>
        <x:v>0</x:v>
      </x:c>
      <x:c r="H92" s="2" t="n">
        <x:f>IFERROR(E92/F92,0)</x:f>
        <x:v>1</x:v>
      </x:c>
      <x:c r="I92" t="str">
        <x:v>Intermediário</x:v>
      </x:c>
      <x:c r="J92" t="str">
        <x:v>CAEd_DadosExportados (3).zip</x:v>
      </x:c>
    </x:row>
    <x:row r="93">
      <x:c r="A93" t="str">
        <x:v>1A006</x:v>
      </x:c>
      <x:c r="B93" t="str">
        <x:v>1º ano</x:v>
      </x:c>
      <x:c r="C93" t="str">
        <x:v>contraprova</x:v>
      </x:c>
      <x:c r="D93" t="str">
        <x:v>H07</x:v>
      </x:c>
      <x:c r="E93" t="n">
        <x:v>2</x:v>
      </x:c>
      <x:c r="F93" t="n">
        <x:v>2</x:v>
      </x:c>
      <x:c r="G93" t="n">
        <x:f>F93-E93</x:f>
        <x:v>0</x:v>
      </x:c>
      <x:c r="H93" s="2" t="n">
        <x:f>IFERROR(E93/F93,0)</x:f>
        <x:v>1</x:v>
      </x:c>
      <x:c r="I93" t="str">
        <x:v>Intermediário</x:v>
      </x:c>
      <x:c r="J93" t="str">
        <x:v>CAEd_DadosExportados (3).zip</x:v>
      </x:c>
    </x:row>
    <x:row r="94">
      <x:c r="A94" t="str">
        <x:v>1A006</x:v>
      </x:c>
      <x:c r="B94" t="str">
        <x:v>1º ano</x:v>
      </x:c>
      <x:c r="C94" t="str">
        <x:v>contraprova</x:v>
      </x:c>
      <x:c r="D94" t="str">
        <x:v>H08</x:v>
      </x:c>
      <x:c r="E94" t="n">
        <x:v>2</x:v>
      </x:c>
      <x:c r="F94" t="n">
        <x:v>2</x:v>
      </x:c>
      <x:c r="G94" t="n">
        <x:f>F94-E94</x:f>
        <x:v>0</x:v>
      </x:c>
      <x:c r="H94" s="2" t="n">
        <x:f>IFERROR(E94/F94,0)</x:f>
        <x:v>1</x:v>
      </x:c>
      <x:c r="I94" t="str">
        <x:v>Intermediário</x:v>
      </x:c>
      <x:c r="J94" t="str">
        <x:v>CAEd_DadosExportados (3).zip</x:v>
      </x:c>
    </x:row>
    <x:row r="95">
      <x:c r="A95" t="str">
        <x:v>1A006</x:v>
      </x:c>
      <x:c r="B95" t="str">
        <x:v>1º ano</x:v>
      </x:c>
      <x:c r="C95" t="str">
        <x:v>contraprova</x:v>
      </x:c>
      <x:c r="D95" t="str">
        <x:v>H09</x:v>
      </x:c>
      <x:c r="E95" t="n">
        <x:v>2</x:v>
      </x:c>
      <x:c r="F95" t="n">
        <x:v>2</x:v>
      </x:c>
      <x:c r="G95" t="n">
        <x:f>F95-E95</x:f>
        <x:v>0</x:v>
      </x:c>
      <x:c r="H95" s="2" t="n">
        <x:f>IFERROR(E95/F95,0)</x:f>
        <x:v>1</x:v>
      </x:c>
      <x:c r="I95" t="str">
        <x:v>Intermediário</x:v>
      </x:c>
      <x:c r="J95" t="str">
        <x:v>CAEd_DadosExportados (3).zip</x:v>
      </x:c>
    </x:row>
    <x:row r="96">
      <x:c r="A96" t="str">
        <x:v>1A006</x:v>
      </x:c>
      <x:c r="B96" t="str">
        <x:v>1º ano</x:v>
      </x:c>
      <x:c r="C96" t="str">
        <x:v>referencia</x:v>
      </x:c>
      <x:c r="D96" t="str">
        <x:v>H01</x:v>
      </x:c>
      <x:c r="E96" t="n">
        <x:v>1</x:v>
      </x:c>
      <x:c r="F96" t="n">
        <x:v>3</x:v>
      </x:c>
      <x:c r="G96" t="n">
        <x:f>F96-E96</x:f>
        <x:v>2</x:v>
      </x:c>
      <x:c r="H96" s="2" t="n">
        <x:f>IFERROR(E96/F96,0)</x:f>
        <x:v>0.3333333333333333</x:v>
      </x:c>
      <x:c r="I96" t="str">
        <x:v>Adequado</x:v>
      </x:c>
      <x:c r="J96" t="str">
        <x:v>CAEd_DadosExportados.zip</x:v>
      </x:c>
    </x:row>
    <x:row r="97">
      <x:c r="A97" t="str">
        <x:v>1A006</x:v>
      </x:c>
      <x:c r="B97" t="str">
        <x:v>1º ano</x:v>
      </x:c>
      <x:c r="C97" t="str">
        <x:v>referencia</x:v>
      </x:c>
      <x:c r="D97" t="str">
        <x:v>H02</x:v>
      </x:c>
      <x:c r="E97" t="n">
        <x:v>1</x:v>
      </x:c>
      <x:c r="F97" t="n">
        <x:v>3</x:v>
      </x:c>
      <x:c r="G97" t="n">
        <x:f>F97-E97</x:f>
        <x:v>2</x:v>
      </x:c>
      <x:c r="H97" s="2" t="n">
        <x:f>IFERROR(E97/F97,0)</x:f>
        <x:v>0.3333333333333333</x:v>
      </x:c>
      <x:c r="I97" t="str">
        <x:v>Adequado</x:v>
      </x:c>
      <x:c r="J97" t="str">
        <x:v>CAEd_DadosExportados.zip</x:v>
      </x:c>
    </x:row>
    <x:row r="98">
      <x:c r="A98" t="str">
        <x:v>1A006</x:v>
      </x:c>
      <x:c r="B98" t="str">
        <x:v>1º ano</x:v>
      </x:c>
      <x:c r="C98" t="str">
        <x:v>referencia</x:v>
      </x:c>
      <x:c r="D98" t="str">
        <x:v>H03</x:v>
      </x:c>
      <x:c r="E98" t="n">
        <x:v>3</x:v>
      </x:c>
      <x:c r="F98" t="n">
        <x:v>3</x:v>
      </x:c>
      <x:c r="G98" t="n">
        <x:f>F98-E98</x:f>
        <x:v>0</x:v>
      </x:c>
      <x:c r="H98" s="2" t="n">
        <x:f>IFERROR(E98/F98,0)</x:f>
        <x:v>1</x:v>
      </x:c>
      <x:c r="I98" t="str">
        <x:v>Adequado</x:v>
      </x:c>
      <x:c r="J98" t="str">
        <x:v>CAEd_DadosExportados.zip</x:v>
      </x:c>
    </x:row>
    <x:row r="99">
      <x:c r="A99" t="str">
        <x:v>1A006</x:v>
      </x:c>
      <x:c r="B99" t="str">
        <x:v>1º ano</x:v>
      </x:c>
      <x:c r="C99" t="str">
        <x:v>referencia</x:v>
      </x:c>
      <x:c r="D99" t="str">
        <x:v>H04</x:v>
      </x:c>
      <x:c r="E99" t="n">
        <x:v>2</x:v>
      </x:c>
      <x:c r="F99" t="n">
        <x:v>3</x:v>
      </x:c>
      <x:c r="G99" t="n">
        <x:f>F99-E99</x:f>
        <x:v>1</x:v>
      </x:c>
      <x:c r="H99" s="2" t="n">
        <x:f>IFERROR(E99/F99,0)</x:f>
        <x:v>0.6666666666666666</x:v>
      </x:c>
      <x:c r="I99" t="str">
        <x:v>Adequado</x:v>
      </x:c>
      <x:c r="J99" t="str">
        <x:v>CAEd_DadosExportados.zip</x:v>
      </x:c>
    </x:row>
    <x:row r="100">
      <x:c r="A100" t="str">
        <x:v>1A006</x:v>
      </x:c>
      <x:c r="B100" t="str">
        <x:v>1º ano</x:v>
      </x:c>
      <x:c r="C100" t="str">
        <x:v>referencia</x:v>
      </x:c>
      <x:c r="D100" t="str">
        <x:v>H05</x:v>
      </x:c>
      <x:c r="E100" t="n">
        <x:v>3</x:v>
      </x:c>
      <x:c r="F100" t="n">
        <x:v>3</x:v>
      </x:c>
      <x:c r="G100" t="n">
        <x:f>F100-E100</x:f>
        <x:v>0</x:v>
      </x:c>
      <x:c r="H100" s="2" t="n">
        <x:f>IFERROR(E100/F100,0)</x:f>
        <x:v>1</x:v>
      </x:c>
      <x:c r="I100" t="str">
        <x:v>Adequado</x:v>
      </x:c>
      <x:c r="J100" t="str">
        <x:v>CAEd_DadosExportados.zip</x:v>
      </x:c>
    </x:row>
    <x:row r="101">
      <x:c r="A101" t="str">
        <x:v>1A006</x:v>
      </x:c>
      <x:c r="B101" t="str">
        <x:v>1º ano</x:v>
      </x:c>
      <x:c r="C101" t="str">
        <x:v>referencia</x:v>
      </x:c>
      <x:c r="D101" t="str">
        <x:v>H06</x:v>
      </x:c>
      <x:c r="E101" t="n">
        <x:v>2</x:v>
      </x:c>
      <x:c r="F101" t="n">
        <x:v>3</x:v>
      </x:c>
      <x:c r="G101" t="n">
        <x:f>F101-E101</x:f>
        <x:v>1</x:v>
      </x:c>
      <x:c r="H101" s="2" t="n">
        <x:f>IFERROR(E101/F101,0)</x:f>
        <x:v>0.6666666666666666</x:v>
      </x:c>
      <x:c r="I101" t="str">
        <x:v>Adequado</x:v>
      </x:c>
      <x:c r="J101" t="str">
        <x:v>CAEd_DadosExportados.zip</x:v>
      </x:c>
    </x:row>
    <x:row r="102">
      <x:c r="A102" t="str">
        <x:v>1A006</x:v>
      </x:c>
      <x:c r="B102" t="str">
        <x:v>1º ano</x:v>
      </x:c>
      <x:c r="C102" t="str">
        <x:v>referencia</x:v>
      </x:c>
      <x:c r="D102" t="str">
        <x:v>H07</x:v>
      </x:c>
      <x:c r="E102" t="n">
        <x:v>2</x:v>
      </x:c>
      <x:c r="F102" t="n">
        <x:v>2</x:v>
      </x:c>
      <x:c r="G102" t="n">
        <x:f>F102-E102</x:f>
        <x:v>0</x:v>
      </x:c>
      <x:c r="H102" s="2" t="n">
        <x:f>IFERROR(E102/F102,0)</x:f>
        <x:v>1</x:v>
      </x:c>
      <x:c r="I102" t="str">
        <x:v>Adequado</x:v>
      </x:c>
      <x:c r="J102" t="str">
        <x:v>CAEd_DadosExportados.zip</x:v>
      </x:c>
    </x:row>
    <x:row r="103">
      <x:c r="A103" t="str">
        <x:v>1A006</x:v>
      </x:c>
      <x:c r="B103" t="str">
        <x:v>1º ano</x:v>
      </x:c>
      <x:c r="C103" t="str">
        <x:v>referencia</x:v>
      </x:c>
      <x:c r="D103" t="str">
        <x:v>H08</x:v>
      </x:c>
      <x:c r="E103" t="n">
        <x:v>2</x:v>
      </x:c>
      <x:c r="F103" t="n">
        <x:v>2</x:v>
      </x:c>
      <x:c r="G103" t="n">
        <x:f>F103-E103</x:f>
        <x:v>0</x:v>
      </x:c>
      <x:c r="H103" s="2" t="n">
        <x:f>IFERROR(E103/F103,0)</x:f>
        <x:v>1</x:v>
      </x:c>
      <x:c r="I103" t="str">
        <x:v>Adequado</x:v>
      </x:c>
      <x:c r="J103" t="str">
        <x:v>CAEd_DadosExportados.zip</x:v>
      </x:c>
    </x:row>
    <x:row r="104">
      <x:c r="A104" t="str">
        <x:v>1A007</x:v>
      </x:c>
      <x:c r="B104" t="str">
        <x:v>1º ano</x:v>
      </x:c>
      <x:c r="C104" t="str">
        <x:v>contraprova</x:v>
      </x:c>
      <x:c r="D104" t="str">
        <x:v>H01</x:v>
      </x:c>
      <x:c r="E104" t="n">
        <x:v>1</x:v>
      </x:c>
      <x:c r="F104" t="n">
        <x:v>2</x:v>
      </x:c>
      <x:c r="G104" t="n">
        <x:f>F104-E104</x:f>
        <x:v>1</x:v>
      </x:c>
      <x:c r="H104" s="2" t="n">
        <x:f>IFERROR(E104/F104,0)</x:f>
        <x:v>0.5</x:v>
      </x:c>
      <x:c r="I104" t="str">
        <x:v>Intermediário</x:v>
      </x:c>
      <x:c r="J104" t="str">
        <x:v>CAEd_DadosExportados (3).zip</x:v>
      </x:c>
    </x:row>
    <x:row r="105">
      <x:c r="A105" t="str">
        <x:v>1A007</x:v>
      </x:c>
      <x:c r="B105" t="str">
        <x:v>1º ano</x:v>
      </x:c>
      <x:c r="C105" t="str">
        <x:v>contraprova</x:v>
      </x:c>
      <x:c r="D105" t="str">
        <x:v>H02</x:v>
      </x:c>
      <x:c r="E105" t="n">
        <x:v>1</x:v>
      </x:c>
      <x:c r="F105" t="n">
        <x:v>2</x:v>
      </x:c>
      <x:c r="G105" t="n">
        <x:f>F105-E105</x:f>
        <x:v>1</x:v>
      </x:c>
      <x:c r="H105" s="2" t="n">
        <x:f>IFERROR(E105/F105,0)</x:f>
        <x:v>0.5</x:v>
      </x:c>
      <x:c r="I105" t="str">
        <x:v>Intermediário</x:v>
      </x:c>
      <x:c r="J105" t="str">
        <x:v>CAEd_DadosExportados (3).zip</x:v>
      </x:c>
    </x:row>
    <x:row r="106">
      <x:c r="A106" t="str">
        <x:v>1A007</x:v>
      </x:c>
      <x:c r="B106" t="str">
        <x:v>1º ano</x:v>
      </x:c>
      <x:c r="C106" t="str">
        <x:v>contraprova</x:v>
      </x:c>
      <x:c r="D106" t="str">
        <x:v>H03</x:v>
      </x:c>
      <x:c r="E106" t="n">
        <x:v>2</x:v>
      </x:c>
      <x:c r="F106" t="n">
        <x:v>3</x:v>
      </x:c>
      <x:c r="G106" t="n">
        <x:f>F106-E106</x:f>
        <x:v>1</x:v>
      </x:c>
      <x:c r="H106" s="2" t="n">
        <x:f>IFERROR(E106/F106,0)</x:f>
        <x:v>0.6666666666666666</x:v>
      </x:c>
      <x:c r="I106" t="str">
        <x:v>Intermediário</x:v>
      </x:c>
      <x:c r="J106" t="str">
        <x:v>CAEd_DadosExportados (3).zip</x:v>
      </x:c>
    </x:row>
    <x:row r="107">
      <x:c r="A107" t="str">
        <x:v>1A007</x:v>
      </x:c>
      <x:c r="B107" t="str">
        <x:v>1º ano</x:v>
      </x:c>
      <x:c r="C107" t="str">
        <x:v>contraprova</x:v>
      </x:c>
      <x:c r="D107" t="str">
        <x:v>H04</x:v>
      </x:c>
      <x:c r="E107" t="n">
        <x:v>1</x:v>
      </x:c>
      <x:c r="F107" t="n">
        <x:v>3</x:v>
      </x:c>
      <x:c r="G107" t="n">
        <x:f>F107-E107</x:f>
        <x:v>2</x:v>
      </x:c>
      <x:c r="H107" s="2" t="n">
        <x:f>IFERROR(E107/F107,0)</x:f>
        <x:v>0.3333333333333333</x:v>
      </x:c>
      <x:c r="I107" t="str">
        <x:v>Intermediário</x:v>
      </x:c>
      <x:c r="J107" t="str">
        <x:v>CAEd_DadosExportados (3).zip</x:v>
      </x:c>
    </x:row>
    <x:row r="108">
      <x:c r="A108" t="str">
        <x:v>1A007</x:v>
      </x:c>
      <x:c r="B108" t="str">
        <x:v>1º ano</x:v>
      </x:c>
      <x:c r="C108" t="str">
        <x:v>contraprova</x:v>
      </x:c>
      <x:c r="D108" t="str">
        <x:v>H05</x:v>
      </x:c>
      <x:c r="E108" t="n">
        <x:v>2</x:v>
      </x:c>
      <x:c r="F108" t="n">
        <x:v>3</x:v>
      </x:c>
      <x:c r="G108" t="n">
        <x:f>F108-E108</x:f>
        <x:v>1</x:v>
      </x:c>
      <x:c r="H108" s="2" t="n">
        <x:f>IFERROR(E108/F108,0)</x:f>
        <x:v>0.6666666666666666</x:v>
      </x:c>
      <x:c r="I108" t="str">
        <x:v>Intermediário</x:v>
      </x:c>
      <x:c r="J108" t="str">
        <x:v>CAEd_DadosExportados (3).zip</x:v>
      </x:c>
    </x:row>
    <x:row r="109">
      <x:c r="A109" t="str">
        <x:v>1A007</x:v>
      </x:c>
      <x:c r="B109" t="str">
        <x:v>1º ano</x:v>
      </x:c>
      <x:c r="C109" t="str">
        <x:v>contraprova</x:v>
      </x:c>
      <x:c r="D109" t="str">
        <x:v>H06</x:v>
      </x:c>
      <x:c r="E109" t="n">
        <x:v>3</x:v>
      </x:c>
      <x:c r="F109" t="n">
        <x:v>3</x:v>
      </x:c>
      <x:c r="G109" t="n">
        <x:f>F109-E109</x:f>
        <x:v>0</x:v>
      </x:c>
      <x:c r="H109" s="2" t="n">
        <x:f>IFERROR(E109/F109,0)</x:f>
        <x:v>1</x:v>
      </x:c>
      <x:c r="I109" t="str">
        <x:v>Intermediário</x:v>
      </x:c>
      <x:c r="J109" t="str">
        <x:v>CAEd_DadosExportados (3).zip</x:v>
      </x:c>
    </x:row>
    <x:row r="110">
      <x:c r="A110" t="str">
        <x:v>1A007</x:v>
      </x:c>
      <x:c r="B110" t="str">
        <x:v>1º ano</x:v>
      </x:c>
      <x:c r="C110" t="str">
        <x:v>contraprova</x:v>
      </x:c>
      <x:c r="D110" t="str">
        <x:v>H07</x:v>
      </x:c>
      <x:c r="E110" t="n">
        <x:v>1</x:v>
      </x:c>
      <x:c r="F110" t="n">
        <x:v>2</x:v>
      </x:c>
      <x:c r="G110" t="n">
        <x:f>F110-E110</x:f>
        <x:v>1</x:v>
      </x:c>
      <x:c r="H110" s="2" t="n">
        <x:f>IFERROR(E110/F110,0)</x:f>
        <x:v>0.5</x:v>
      </x:c>
      <x:c r="I110" t="str">
        <x:v>Intermediário</x:v>
      </x:c>
      <x:c r="J110" t="str">
        <x:v>CAEd_DadosExportados (3).zip</x:v>
      </x:c>
    </x:row>
    <x:row r="111">
      <x:c r="A111" t="str">
        <x:v>1A007</x:v>
      </x:c>
      <x:c r="B111" t="str">
        <x:v>1º ano</x:v>
      </x:c>
      <x:c r="C111" t="str">
        <x:v>contraprova</x:v>
      </x:c>
      <x:c r="D111" t="str">
        <x:v>H08</x:v>
      </x:c>
      <x:c r="E111" t="n">
        <x:v>2</x:v>
      </x:c>
      <x:c r="F111" t="n">
        <x:v>2</x:v>
      </x:c>
      <x:c r="G111" t="n">
        <x:f>F111-E111</x:f>
        <x:v>0</x:v>
      </x:c>
      <x:c r="H111" s="2" t="n">
        <x:f>IFERROR(E111/F111,0)</x:f>
        <x:v>1</x:v>
      </x:c>
      <x:c r="I111" t="str">
        <x:v>Intermediário</x:v>
      </x:c>
      <x:c r="J111" t="str">
        <x:v>CAEd_DadosExportados (3).zip</x:v>
      </x:c>
    </x:row>
    <x:row r="112">
      <x:c r="A112" t="str">
        <x:v>1A007</x:v>
      </x:c>
      <x:c r="B112" t="str">
        <x:v>1º ano</x:v>
      </x:c>
      <x:c r="C112" t="str">
        <x:v>contraprova</x:v>
      </x:c>
      <x:c r="D112" t="str">
        <x:v>H09</x:v>
      </x:c>
      <x:c r="E112" t="n">
        <x:v>2</x:v>
      </x:c>
      <x:c r="F112" t="n">
        <x:v>2</x:v>
      </x:c>
      <x:c r="G112" t="n">
        <x:f>F112-E112</x:f>
        <x:v>0</x:v>
      </x:c>
      <x:c r="H112" s="2" t="n">
        <x:f>IFERROR(E112/F112,0)</x:f>
        <x:v>1</x:v>
      </x:c>
      <x:c r="I112" t="str">
        <x:v>Intermediário</x:v>
      </x:c>
      <x:c r="J112" t="str">
        <x:v>CAEd_DadosExportados (3).zip</x:v>
      </x:c>
    </x:row>
    <x:row r="113">
      <x:c r="A113" t="str">
        <x:v>1A007</x:v>
      </x:c>
      <x:c r="B113" t="str">
        <x:v>1º ano</x:v>
      </x:c>
      <x:c r="C113" t="str">
        <x:v>referencia</x:v>
      </x:c>
      <x:c r="D113" t="str">
        <x:v>H01</x:v>
      </x:c>
      <x:c r="E113" t="n">
        <x:v>3</x:v>
      </x:c>
      <x:c r="F113" t="n">
        <x:v>3</x:v>
      </x:c>
      <x:c r="G113" t="n">
        <x:f>F113-E113</x:f>
        <x:v>0</x:v>
      </x:c>
      <x:c r="H113" s="2" t="n">
        <x:f>IFERROR(E113/F113,0)</x:f>
        <x:v>1</x:v>
      </x:c>
      <x:c r="I113" t="str">
        <x:v>Adequado</x:v>
      </x:c>
      <x:c r="J113" t="str">
        <x:v>CAEd_DadosExportados.zip</x:v>
      </x:c>
    </x:row>
    <x:row r="114">
      <x:c r="A114" t="str">
        <x:v>1A007</x:v>
      </x:c>
      <x:c r="B114" t="str">
        <x:v>1º ano</x:v>
      </x:c>
      <x:c r="C114" t="str">
        <x:v>referencia</x:v>
      </x:c>
      <x:c r="D114" t="str">
        <x:v>H02</x:v>
      </x:c>
      <x:c r="E114" t="n">
        <x:v>3</x:v>
      </x:c>
      <x:c r="F114" t="n">
        <x:v>3</x:v>
      </x:c>
      <x:c r="G114" t="n">
        <x:f>F114-E114</x:f>
        <x:v>0</x:v>
      </x:c>
      <x:c r="H114" s="2" t="n">
        <x:f>IFERROR(E114/F114,0)</x:f>
        <x:v>1</x:v>
      </x:c>
      <x:c r="I114" t="str">
        <x:v>Adequado</x:v>
      </x:c>
      <x:c r="J114" t="str">
        <x:v>CAEd_DadosExportados.zip</x:v>
      </x:c>
    </x:row>
    <x:row r="115">
      <x:c r="A115" t="str">
        <x:v>1A007</x:v>
      </x:c>
      <x:c r="B115" t="str">
        <x:v>1º ano</x:v>
      </x:c>
      <x:c r="C115" t="str">
        <x:v>referencia</x:v>
      </x:c>
      <x:c r="D115" t="str">
        <x:v>H03</x:v>
      </x:c>
      <x:c r="E115" t="n">
        <x:v>3</x:v>
      </x:c>
      <x:c r="F115" t="n">
        <x:v>3</x:v>
      </x:c>
      <x:c r="G115" t="n">
        <x:f>F115-E115</x:f>
        <x:v>0</x:v>
      </x:c>
      <x:c r="H115" s="2" t="n">
        <x:f>IFERROR(E115/F115,0)</x:f>
        <x:v>1</x:v>
      </x:c>
      <x:c r="I115" t="str">
        <x:v>Adequado</x:v>
      </x:c>
      <x:c r="J115" t="str">
        <x:v>CAEd_DadosExportados.zip</x:v>
      </x:c>
    </x:row>
    <x:row r="116">
      <x:c r="A116" t="str">
        <x:v>1A007</x:v>
      </x:c>
      <x:c r="B116" t="str">
        <x:v>1º ano</x:v>
      </x:c>
      <x:c r="C116" t="str">
        <x:v>referencia</x:v>
      </x:c>
      <x:c r="D116" t="str">
        <x:v>H04</x:v>
      </x:c>
      <x:c r="E116" t="n">
        <x:v>3</x:v>
      </x:c>
      <x:c r="F116" t="n">
        <x:v>3</x:v>
      </x:c>
      <x:c r="G116" t="n">
        <x:f>F116-E116</x:f>
        <x:v>0</x:v>
      </x:c>
      <x:c r="H116" s="2" t="n">
        <x:f>IFERROR(E116/F116,0)</x:f>
        <x:v>1</x:v>
      </x:c>
      <x:c r="I116" t="str">
        <x:v>Adequado</x:v>
      </x:c>
      <x:c r="J116" t="str">
        <x:v>CAEd_DadosExportados.zip</x:v>
      </x:c>
    </x:row>
    <x:row r="117">
      <x:c r="A117" t="str">
        <x:v>1A007</x:v>
      </x:c>
      <x:c r="B117" t="str">
        <x:v>1º ano</x:v>
      </x:c>
      <x:c r="C117" t="str">
        <x:v>referencia</x:v>
      </x:c>
      <x:c r="D117" t="str">
        <x:v>H05</x:v>
      </x:c>
      <x:c r="E117" t="n">
        <x:v>3</x:v>
      </x:c>
      <x:c r="F117" t="n">
        <x:v>3</x:v>
      </x:c>
      <x:c r="G117" t="n">
        <x:f>F117-E117</x:f>
        <x:v>0</x:v>
      </x:c>
      <x:c r="H117" s="2" t="n">
        <x:f>IFERROR(E117/F117,0)</x:f>
        <x:v>1</x:v>
      </x:c>
      <x:c r="I117" t="str">
        <x:v>Adequado</x:v>
      </x:c>
      <x:c r="J117" t="str">
        <x:v>CAEd_DadosExportados.zip</x:v>
      </x:c>
    </x:row>
    <x:row r="118">
      <x:c r="A118" t="str">
        <x:v>1A007</x:v>
      </x:c>
      <x:c r="B118" t="str">
        <x:v>1º ano</x:v>
      </x:c>
      <x:c r="C118" t="str">
        <x:v>referencia</x:v>
      </x:c>
      <x:c r="D118" t="str">
        <x:v>H06</x:v>
      </x:c>
      <x:c r="E118" t="n">
        <x:v>3</x:v>
      </x:c>
      <x:c r="F118" t="n">
        <x:v>3</x:v>
      </x:c>
      <x:c r="G118" t="n">
        <x:f>F118-E118</x:f>
        <x:v>0</x:v>
      </x:c>
      <x:c r="H118" s="2" t="n">
        <x:f>IFERROR(E118/F118,0)</x:f>
        <x:v>1</x:v>
      </x:c>
      <x:c r="I118" t="str">
        <x:v>Adequado</x:v>
      </x:c>
      <x:c r="J118" t="str">
        <x:v>CAEd_DadosExportados.zip</x:v>
      </x:c>
    </x:row>
    <x:row r="119">
      <x:c r="A119" t="str">
        <x:v>1A007</x:v>
      </x:c>
      <x:c r="B119" t="str">
        <x:v>1º ano</x:v>
      </x:c>
      <x:c r="C119" t="str">
        <x:v>referencia</x:v>
      </x:c>
      <x:c r="D119" t="str">
        <x:v>H07</x:v>
      </x:c>
      <x:c r="E119" t="n">
        <x:v>2</x:v>
      </x:c>
      <x:c r="F119" t="n">
        <x:v>2</x:v>
      </x:c>
      <x:c r="G119" t="n">
        <x:f>F119-E119</x:f>
        <x:v>0</x:v>
      </x:c>
      <x:c r="H119" s="2" t="n">
        <x:f>IFERROR(E119/F119,0)</x:f>
        <x:v>1</x:v>
      </x:c>
      <x:c r="I119" t="str">
        <x:v>Adequado</x:v>
      </x:c>
      <x:c r="J119" t="str">
        <x:v>CAEd_DadosExportados.zip</x:v>
      </x:c>
    </x:row>
    <x:row r="120">
      <x:c r="A120" t="str">
        <x:v>1A007</x:v>
      </x:c>
      <x:c r="B120" t="str">
        <x:v>1º ano</x:v>
      </x:c>
      <x:c r="C120" t="str">
        <x:v>referencia</x:v>
      </x:c>
      <x:c r="D120" t="str">
        <x:v>H08</x:v>
      </x:c>
      <x:c r="E120" t="n">
        <x:v>2</x:v>
      </x:c>
      <x:c r="F120" t="n">
        <x:v>2</x:v>
      </x:c>
      <x:c r="G120" t="n">
        <x:f>F120-E120</x:f>
        <x:v>0</x:v>
      </x:c>
      <x:c r="H120" s="2" t="n">
        <x:f>IFERROR(E120/F120,0)</x:f>
        <x:v>1</x:v>
      </x:c>
      <x:c r="I120" t="str">
        <x:v>Adequado</x:v>
      </x:c>
      <x:c r="J120" t="str">
        <x:v>CAEd_DadosExportados.zip</x:v>
      </x:c>
    </x:row>
    <x:row r="121">
      <x:c r="A121" t="str">
        <x:v>1A008</x:v>
      </x:c>
      <x:c r="B121" t="str">
        <x:v>1º ano</x:v>
      </x:c>
      <x:c r="C121" t="str">
        <x:v>contraprova</x:v>
      </x:c>
      <x:c r="D121" t="str">
        <x:v>H01</x:v>
      </x:c>
      <x:c r="E121" t="n">
        <x:v>2</x:v>
      </x:c>
      <x:c r="F121" t="n">
        <x:v>2</x:v>
      </x:c>
      <x:c r="G121" t="n">
        <x:f>F121-E121</x:f>
        <x:v>0</x:v>
      </x:c>
      <x:c r="H121" s="2" t="n">
        <x:f>IFERROR(E121/F121,0)</x:f>
        <x:v>1</x:v>
      </x:c>
      <x:c r="I121" t="str">
        <x:v>Adequado</x:v>
      </x:c>
      <x:c r="J121" t="str">
        <x:v>CAEd_DadosExportados (3).zip</x:v>
      </x:c>
    </x:row>
    <x:row r="122">
      <x:c r="A122" t="str">
        <x:v>1A008</x:v>
      </x:c>
      <x:c r="B122" t="str">
        <x:v>1º ano</x:v>
      </x:c>
      <x:c r="C122" t="str">
        <x:v>contraprova</x:v>
      </x:c>
      <x:c r="D122" t="str">
        <x:v>H02</x:v>
      </x:c>
      <x:c r="E122" t="n">
        <x:v>2</x:v>
      </x:c>
      <x:c r="F122" t="n">
        <x:v>2</x:v>
      </x:c>
      <x:c r="G122" t="n">
        <x:f>F122-E122</x:f>
        <x:v>0</x:v>
      </x:c>
      <x:c r="H122" s="2" t="n">
        <x:f>IFERROR(E122/F122,0)</x:f>
        <x:v>1</x:v>
      </x:c>
      <x:c r="I122" t="str">
        <x:v>Adequado</x:v>
      </x:c>
      <x:c r="J122" t="str">
        <x:v>CAEd_DadosExportados (3).zip</x:v>
      </x:c>
    </x:row>
    <x:row r="123">
      <x:c r="A123" t="str">
        <x:v>1A008</x:v>
      </x:c>
      <x:c r="B123" t="str">
        <x:v>1º ano</x:v>
      </x:c>
      <x:c r="C123" t="str">
        <x:v>contraprova</x:v>
      </x:c>
      <x:c r="D123" t="str">
        <x:v>H03</x:v>
      </x:c>
      <x:c r="E123" t="n">
        <x:v>3</x:v>
      </x:c>
      <x:c r="F123" t="n">
        <x:v>3</x:v>
      </x:c>
      <x:c r="G123" t="n">
        <x:f>F123-E123</x:f>
        <x:v>0</x:v>
      </x:c>
      <x:c r="H123" s="2" t="n">
        <x:f>IFERROR(E123/F123,0)</x:f>
        <x:v>1</x:v>
      </x:c>
      <x:c r="I123" t="str">
        <x:v>Adequado</x:v>
      </x:c>
      <x:c r="J123" t="str">
        <x:v>CAEd_DadosExportados (3).zip</x:v>
      </x:c>
    </x:row>
    <x:row r="124">
      <x:c r="A124" t="str">
        <x:v>1A008</x:v>
      </x:c>
      <x:c r="B124" t="str">
        <x:v>1º ano</x:v>
      </x:c>
      <x:c r="C124" t="str">
        <x:v>contraprova</x:v>
      </x:c>
      <x:c r="D124" t="str">
        <x:v>H04</x:v>
      </x:c>
      <x:c r="E124" t="n">
        <x:v>3</x:v>
      </x:c>
      <x:c r="F124" t="n">
        <x:v>3</x:v>
      </x:c>
      <x:c r="G124" t="n">
        <x:f>F124-E124</x:f>
        <x:v>0</x:v>
      </x:c>
      <x:c r="H124" s="2" t="n">
        <x:f>IFERROR(E124/F124,0)</x:f>
        <x:v>1</x:v>
      </x:c>
      <x:c r="I124" t="str">
        <x:v>Adequado</x:v>
      </x:c>
      <x:c r="J124" t="str">
        <x:v>CAEd_DadosExportados (3).zip</x:v>
      </x:c>
    </x:row>
    <x:row r="125">
      <x:c r="A125" t="str">
        <x:v>1A008</x:v>
      </x:c>
      <x:c r="B125" t="str">
        <x:v>1º ano</x:v>
      </x:c>
      <x:c r="C125" t="str">
        <x:v>contraprova</x:v>
      </x:c>
      <x:c r="D125" t="str">
        <x:v>H05</x:v>
      </x:c>
      <x:c r="E125" t="n">
        <x:v>1</x:v>
      </x:c>
      <x:c r="F125" t="n">
        <x:v>3</x:v>
      </x:c>
      <x:c r="G125" t="n">
        <x:f>F125-E125</x:f>
        <x:v>2</x:v>
      </x:c>
      <x:c r="H125" s="2" t="n">
        <x:f>IFERROR(E125/F125,0)</x:f>
        <x:v>0.3333333333333333</x:v>
      </x:c>
      <x:c r="I125" t="str">
        <x:v>Adequado</x:v>
      </x:c>
      <x:c r="J125" t="str">
        <x:v>CAEd_DadosExportados (3).zip</x:v>
      </x:c>
    </x:row>
    <x:row r="126">
      <x:c r="A126" t="str">
        <x:v>1A008</x:v>
      </x:c>
      <x:c r="B126" t="str">
        <x:v>1º ano</x:v>
      </x:c>
      <x:c r="C126" t="str">
        <x:v>contraprova</x:v>
      </x:c>
      <x:c r="D126" t="str">
        <x:v>H06</x:v>
      </x:c>
      <x:c r="E126" t="n">
        <x:v>2</x:v>
      </x:c>
      <x:c r="F126" t="n">
        <x:v>3</x:v>
      </x:c>
      <x:c r="G126" t="n">
        <x:f>F126-E126</x:f>
        <x:v>1</x:v>
      </x:c>
      <x:c r="H126" s="2" t="n">
        <x:f>IFERROR(E126/F126,0)</x:f>
        <x:v>0.6666666666666666</x:v>
      </x:c>
      <x:c r="I126" t="str">
        <x:v>Adequado</x:v>
      </x:c>
      <x:c r="J126" t="str">
        <x:v>CAEd_DadosExportados (3).zip</x:v>
      </x:c>
    </x:row>
    <x:row r="127">
      <x:c r="A127" t="str">
        <x:v>1A008</x:v>
      </x:c>
      <x:c r="B127" t="str">
        <x:v>1º ano</x:v>
      </x:c>
      <x:c r="C127" t="str">
        <x:v>contraprova</x:v>
      </x:c>
      <x:c r="D127" t="str">
        <x:v>H07</x:v>
      </x:c>
      <x:c r="E127" t="n">
        <x:v>1</x:v>
      </x:c>
      <x:c r="F127" t="n">
        <x:v>2</x:v>
      </x:c>
      <x:c r="G127" t="n">
        <x:f>F127-E127</x:f>
        <x:v>1</x:v>
      </x:c>
      <x:c r="H127" s="2" t="n">
        <x:f>IFERROR(E127/F127,0)</x:f>
        <x:v>0.5</x:v>
      </x:c>
      <x:c r="I127" t="str">
        <x:v>Adequado</x:v>
      </x:c>
      <x:c r="J127" t="str">
        <x:v>CAEd_DadosExportados (3).zip</x:v>
      </x:c>
    </x:row>
    <x:row r="128">
      <x:c r="A128" t="str">
        <x:v>1A008</x:v>
      </x:c>
      <x:c r="B128" t="str">
        <x:v>1º ano</x:v>
      </x:c>
      <x:c r="C128" t="str">
        <x:v>contraprova</x:v>
      </x:c>
      <x:c r="D128" t="str">
        <x:v>H08</x:v>
      </x:c>
      <x:c r="E128" t="n">
        <x:v>2</x:v>
      </x:c>
      <x:c r="F128" t="n">
        <x:v>2</x:v>
      </x:c>
      <x:c r="G128" t="n">
        <x:f>F128-E128</x:f>
        <x:v>0</x:v>
      </x:c>
      <x:c r="H128" s="2" t="n">
        <x:f>IFERROR(E128/F128,0)</x:f>
        <x:v>1</x:v>
      </x:c>
      <x:c r="I128" t="str">
        <x:v>Adequado</x:v>
      </x:c>
      <x:c r="J128" t="str">
        <x:v>CAEd_DadosExportados (3).zip</x:v>
      </x:c>
    </x:row>
    <x:row r="129">
      <x:c r="A129" t="str">
        <x:v>1A008</x:v>
      </x:c>
      <x:c r="B129" t="str">
        <x:v>1º ano</x:v>
      </x:c>
      <x:c r="C129" t="str">
        <x:v>contraprova</x:v>
      </x:c>
      <x:c r="D129" t="str">
        <x:v>H09</x:v>
      </x:c>
      <x:c r="E129" t="n">
        <x:v>2</x:v>
      </x:c>
      <x:c r="F129" t="n">
        <x:v>2</x:v>
      </x:c>
      <x:c r="G129" t="n">
        <x:f>F129-E129</x:f>
        <x:v>0</x:v>
      </x:c>
      <x:c r="H129" s="2" t="n">
        <x:f>IFERROR(E129/F129,0)</x:f>
        <x:v>1</x:v>
      </x:c>
      <x:c r="I129" t="str">
        <x:v>Adequado</x:v>
      </x:c>
      <x:c r="J129" t="str">
        <x:v>CAEd_DadosExportados (3).zip</x:v>
      </x:c>
    </x:row>
    <x:row r="130">
      <x:c r="A130" t="str">
        <x:v>1A008</x:v>
      </x:c>
      <x:c r="B130" t="str">
        <x:v>1º ano</x:v>
      </x:c>
      <x:c r="C130" t="str">
        <x:v>referencia</x:v>
      </x:c>
      <x:c r="D130" t="str">
        <x:v>H01</x:v>
      </x:c>
      <x:c r="E130" t="n">
        <x:v>3</x:v>
      </x:c>
      <x:c r="F130" t="n">
        <x:v>3</x:v>
      </x:c>
      <x:c r="G130" t="n">
        <x:f>F130-E130</x:f>
        <x:v>0</x:v>
      </x:c>
      <x:c r="H130" s="2" t="n">
        <x:f>IFERROR(E130/F130,0)</x:f>
        <x:v>1</x:v>
      </x:c>
      <x:c r="I130" t="str">
        <x:v>Intermediário</x:v>
      </x:c>
      <x:c r="J130" t="str">
        <x:v>CAEd_DadosExportados.zip</x:v>
      </x:c>
    </x:row>
    <x:row r="131">
      <x:c r="A131" t="str">
        <x:v>1A008</x:v>
      </x:c>
      <x:c r="B131" t="str">
        <x:v>1º ano</x:v>
      </x:c>
      <x:c r="C131" t="str">
        <x:v>referencia</x:v>
      </x:c>
      <x:c r="D131" t="str">
        <x:v>H02</x:v>
      </x:c>
      <x:c r="E131" t="n">
        <x:v>3</x:v>
      </x:c>
      <x:c r="F131" t="n">
        <x:v>3</x:v>
      </x:c>
      <x:c r="G131" t="n">
        <x:f>F131-E131</x:f>
        <x:v>0</x:v>
      </x:c>
      <x:c r="H131" s="2" t="n">
        <x:f>IFERROR(E131/F131,0)</x:f>
        <x:v>1</x:v>
      </x:c>
      <x:c r="I131" t="str">
        <x:v>Intermediário</x:v>
      </x:c>
      <x:c r="J131" t="str">
        <x:v>CAEd_DadosExportados.zip</x:v>
      </x:c>
    </x:row>
    <x:row r="132">
      <x:c r="A132" t="str">
        <x:v>1A008</x:v>
      </x:c>
      <x:c r="B132" t="str">
        <x:v>1º ano</x:v>
      </x:c>
      <x:c r="C132" t="str">
        <x:v>referencia</x:v>
      </x:c>
      <x:c r="D132" t="str">
        <x:v>H03</x:v>
      </x:c>
      <x:c r="E132" t="n">
        <x:v>1</x:v>
      </x:c>
      <x:c r="F132" t="n">
        <x:v>3</x:v>
      </x:c>
      <x:c r="G132" t="n">
        <x:f>F132-E132</x:f>
        <x:v>2</x:v>
      </x:c>
      <x:c r="H132" s="2" t="n">
        <x:f>IFERROR(E132/F132,0)</x:f>
        <x:v>0.3333333333333333</x:v>
      </x:c>
      <x:c r="I132" t="str">
        <x:v>Intermediário</x:v>
      </x:c>
      <x:c r="J132" t="str">
        <x:v>CAEd_DadosExportados.zip</x:v>
      </x:c>
    </x:row>
    <x:row r="133">
      <x:c r="A133" t="str">
        <x:v>1A008</x:v>
      </x:c>
      <x:c r="B133" t="str">
        <x:v>1º ano</x:v>
      </x:c>
      <x:c r="C133" t="str">
        <x:v>referencia</x:v>
      </x:c>
      <x:c r="D133" t="str">
        <x:v>H04</x:v>
      </x:c>
      <x:c r="E133" t="n">
        <x:v>0</x:v>
      </x:c>
      <x:c r="F133" t="n">
        <x:v>3</x:v>
      </x:c>
      <x:c r="G133" t="n">
        <x:f>F133-E133</x:f>
        <x:v>3</x:v>
      </x:c>
      <x:c r="H133" s="2" t="n">
        <x:f>IFERROR(E133/F133,0)</x:f>
        <x:v>0</x:v>
      </x:c>
      <x:c r="I133" t="str">
        <x:v>Intermediário</x:v>
      </x:c>
      <x:c r="J133" t="str">
        <x:v>CAEd_DadosExportados.zip</x:v>
      </x:c>
    </x:row>
    <x:row r="134">
      <x:c r="A134" t="str">
        <x:v>1A008</x:v>
      </x:c>
      <x:c r="B134" t="str">
        <x:v>1º ano</x:v>
      </x:c>
      <x:c r="C134" t="str">
        <x:v>referencia</x:v>
      </x:c>
      <x:c r="D134" t="str">
        <x:v>H05</x:v>
      </x:c>
      <x:c r="E134" t="n">
        <x:v>3</x:v>
      </x:c>
      <x:c r="F134" t="n">
        <x:v>3</x:v>
      </x:c>
      <x:c r="G134" t="n">
        <x:f>F134-E134</x:f>
        <x:v>0</x:v>
      </x:c>
      <x:c r="H134" s="2" t="n">
        <x:f>IFERROR(E134/F134,0)</x:f>
        <x:v>1</x:v>
      </x:c>
      <x:c r="I134" t="str">
        <x:v>Intermediário</x:v>
      </x:c>
      <x:c r="J134" t="str">
        <x:v>CAEd_DadosExportados.zip</x:v>
      </x:c>
    </x:row>
    <x:row r="135">
      <x:c r="A135" t="str">
        <x:v>1A008</x:v>
      </x:c>
      <x:c r="B135" t="str">
        <x:v>1º ano</x:v>
      </x:c>
      <x:c r="C135" t="str">
        <x:v>referencia</x:v>
      </x:c>
      <x:c r="D135" t="str">
        <x:v>H06</x:v>
      </x:c>
      <x:c r="E135" t="n">
        <x:v>2</x:v>
      </x:c>
      <x:c r="F135" t="n">
        <x:v>3</x:v>
      </x:c>
      <x:c r="G135" t="n">
        <x:f>F135-E135</x:f>
        <x:v>1</x:v>
      </x:c>
      <x:c r="H135" s="2" t="n">
        <x:f>IFERROR(E135/F135,0)</x:f>
        <x:v>0.6666666666666666</x:v>
      </x:c>
      <x:c r="I135" t="str">
        <x:v>Intermediário</x:v>
      </x:c>
      <x:c r="J135" t="str">
        <x:v>CAEd_DadosExportados.zip</x:v>
      </x:c>
    </x:row>
    <x:row r="136">
      <x:c r="A136" t="str">
        <x:v>1A008</x:v>
      </x:c>
      <x:c r="B136" t="str">
        <x:v>1º ano</x:v>
      </x:c>
      <x:c r="C136" t="str">
        <x:v>referencia</x:v>
      </x:c>
      <x:c r="D136" t="str">
        <x:v>H07</x:v>
      </x:c>
      <x:c r="E136" t="n">
        <x:v>0</x:v>
      </x:c>
      <x:c r="F136" t="n">
        <x:v>2</x:v>
      </x:c>
      <x:c r="G136" t="n">
        <x:f>F136-E136</x:f>
        <x:v>2</x:v>
      </x:c>
      <x:c r="H136" s="2" t="n">
        <x:f>IFERROR(E136/F136,0)</x:f>
        <x:v>0</x:v>
      </x:c>
      <x:c r="I136" t="str">
        <x:v>Intermediário</x:v>
      </x:c>
      <x:c r="J136" t="str">
        <x:v>CAEd_DadosExportados.zip</x:v>
      </x:c>
    </x:row>
    <x:row r="137">
      <x:c r="A137" t="str">
        <x:v>1A008</x:v>
      </x:c>
      <x:c r="B137" t="str">
        <x:v>1º ano</x:v>
      </x:c>
      <x:c r="C137" t="str">
        <x:v>referencia</x:v>
      </x:c>
      <x:c r="D137" t="str">
        <x:v>H08</x:v>
      </x:c>
      <x:c r="E137" t="n">
        <x:v>2</x:v>
      </x:c>
      <x:c r="F137" t="n">
        <x:v>2</x:v>
      </x:c>
      <x:c r="G137" t="n">
        <x:f>F137-E137</x:f>
        <x:v>0</x:v>
      </x:c>
      <x:c r="H137" s="2" t="n">
        <x:f>IFERROR(E137/F137,0)</x:f>
        <x:v>1</x:v>
      </x:c>
      <x:c r="I137" t="str">
        <x:v>Intermediário</x:v>
      </x:c>
      <x:c r="J137" t="str">
        <x:v>CAEd_DadosExportados.zip</x:v>
      </x:c>
    </x:row>
    <x:row r="138">
      <x:c r="A138" t="str">
        <x:v>1A009</x:v>
      </x:c>
      <x:c r="B138" t="str">
        <x:v>1º ano</x:v>
      </x:c>
      <x:c r="C138" t="str">
        <x:v>contraprova</x:v>
      </x:c>
      <x:c r="D138" t="str">
        <x:v>H01</x:v>
      </x:c>
      <x:c r="E138" t="n">
        <x:v>2</x:v>
      </x:c>
      <x:c r="F138" t="n">
        <x:v>2</x:v>
      </x:c>
      <x:c r="G138" t="n">
        <x:f>F138-E138</x:f>
        <x:v>0</x:v>
      </x:c>
      <x:c r="H138" s="2" t="n">
        <x:f>IFERROR(E138/F138,0)</x:f>
        <x:v>1</x:v>
      </x:c>
      <x:c r="I138" t="str">
        <x:v>Intermediário</x:v>
      </x:c>
      <x:c r="J138" t="str">
        <x:v>CAEd_DadosExportados (3).zip</x:v>
      </x:c>
    </x:row>
    <x:row r="139">
      <x:c r="A139" t="str">
        <x:v>1A009</x:v>
      </x:c>
      <x:c r="B139" t="str">
        <x:v>1º ano</x:v>
      </x:c>
      <x:c r="C139" t="str">
        <x:v>contraprova</x:v>
      </x:c>
      <x:c r="D139" t="str">
        <x:v>H02</x:v>
      </x:c>
      <x:c r="E139" t="n">
        <x:v>2</x:v>
      </x:c>
      <x:c r="F139" t="n">
        <x:v>2</x:v>
      </x:c>
      <x:c r="G139" t="n">
        <x:f>F139-E139</x:f>
        <x:v>0</x:v>
      </x:c>
      <x:c r="H139" s="2" t="n">
        <x:f>IFERROR(E139/F139,0)</x:f>
        <x:v>1</x:v>
      </x:c>
      <x:c r="I139" t="str">
        <x:v>Intermediário</x:v>
      </x:c>
      <x:c r="J139" t="str">
        <x:v>CAEd_DadosExportados (3).zip</x:v>
      </x:c>
    </x:row>
    <x:row r="140">
      <x:c r="A140" t="str">
        <x:v>1A009</x:v>
      </x:c>
      <x:c r="B140" t="str">
        <x:v>1º ano</x:v>
      </x:c>
      <x:c r="C140" t="str">
        <x:v>contraprova</x:v>
      </x:c>
      <x:c r="D140" t="str">
        <x:v>H03</x:v>
      </x:c>
      <x:c r="E140" t="n">
        <x:v>2</x:v>
      </x:c>
      <x:c r="F140" t="n">
        <x:v>3</x:v>
      </x:c>
      <x:c r="G140" t="n">
        <x:f>F140-E140</x:f>
        <x:v>1</x:v>
      </x:c>
      <x:c r="H140" s="2" t="n">
        <x:f>IFERROR(E140/F140,0)</x:f>
        <x:v>0.6666666666666666</x:v>
      </x:c>
      <x:c r="I140" t="str">
        <x:v>Intermediário</x:v>
      </x:c>
      <x:c r="J140" t="str">
        <x:v>CAEd_DadosExportados (3).zip</x:v>
      </x:c>
    </x:row>
    <x:row r="141">
      <x:c r="A141" t="str">
        <x:v>1A009</x:v>
      </x:c>
      <x:c r="B141" t="str">
        <x:v>1º ano</x:v>
      </x:c>
      <x:c r="C141" t="str">
        <x:v>contraprova</x:v>
      </x:c>
      <x:c r="D141" t="str">
        <x:v>H04</x:v>
      </x:c>
      <x:c r="E141" t="n">
        <x:v>1</x:v>
      </x:c>
      <x:c r="F141" t="n">
        <x:v>3</x:v>
      </x:c>
      <x:c r="G141" t="n">
        <x:f>F141-E141</x:f>
        <x:v>2</x:v>
      </x:c>
      <x:c r="H141" s="2" t="n">
        <x:f>IFERROR(E141/F141,0)</x:f>
        <x:v>0.3333333333333333</x:v>
      </x:c>
      <x:c r="I141" t="str">
        <x:v>Intermediário</x:v>
      </x:c>
      <x:c r="J141" t="str">
        <x:v>CAEd_DadosExportados (3).zip</x:v>
      </x:c>
    </x:row>
    <x:row r="142">
      <x:c r="A142" t="str">
        <x:v>1A009</x:v>
      </x:c>
      <x:c r="B142" t="str">
        <x:v>1º ano</x:v>
      </x:c>
      <x:c r="C142" t="str">
        <x:v>contraprova</x:v>
      </x:c>
      <x:c r="D142" t="str">
        <x:v>H05</x:v>
      </x:c>
      <x:c r="E142" t="n">
        <x:v>1</x:v>
      </x:c>
      <x:c r="F142" t="n">
        <x:v>3</x:v>
      </x:c>
      <x:c r="G142" t="n">
        <x:f>F142-E142</x:f>
        <x:v>2</x:v>
      </x:c>
      <x:c r="H142" s="2" t="n">
        <x:f>IFERROR(E142/F142,0)</x:f>
        <x:v>0.3333333333333333</x:v>
      </x:c>
      <x:c r="I142" t="str">
        <x:v>Intermediário</x:v>
      </x:c>
      <x:c r="J142" t="str">
        <x:v>CAEd_DadosExportados (3).zip</x:v>
      </x:c>
    </x:row>
    <x:row r="143">
      <x:c r="A143" t="str">
        <x:v>1A009</x:v>
      </x:c>
      <x:c r="B143" t="str">
        <x:v>1º ano</x:v>
      </x:c>
      <x:c r="C143" t="str">
        <x:v>contraprova</x:v>
      </x:c>
      <x:c r="D143" t="str">
        <x:v>H06</x:v>
      </x:c>
      <x:c r="E143" t="n">
        <x:v>2</x:v>
      </x:c>
      <x:c r="F143" t="n">
        <x:v>3</x:v>
      </x:c>
      <x:c r="G143" t="n">
        <x:f>F143-E143</x:f>
        <x:v>1</x:v>
      </x:c>
      <x:c r="H143" s="2" t="n">
        <x:f>IFERROR(E143/F143,0)</x:f>
        <x:v>0.6666666666666666</x:v>
      </x:c>
      <x:c r="I143" t="str">
        <x:v>Intermediário</x:v>
      </x:c>
      <x:c r="J143" t="str">
        <x:v>CAEd_DadosExportados (3).zip</x:v>
      </x:c>
    </x:row>
    <x:row r="144">
      <x:c r="A144" t="str">
        <x:v>1A009</x:v>
      </x:c>
      <x:c r="B144" t="str">
        <x:v>1º ano</x:v>
      </x:c>
      <x:c r="C144" t="str">
        <x:v>contraprova</x:v>
      </x:c>
      <x:c r="D144" t="str">
        <x:v>H07</x:v>
      </x:c>
      <x:c r="E144" t="n">
        <x:v>2</x:v>
      </x:c>
      <x:c r="F144" t="n">
        <x:v>2</x:v>
      </x:c>
      <x:c r="G144" t="n">
        <x:f>F144-E144</x:f>
        <x:v>0</x:v>
      </x:c>
      <x:c r="H144" s="2" t="n">
        <x:f>IFERROR(E144/F144,0)</x:f>
        <x:v>1</x:v>
      </x:c>
      <x:c r="I144" t="str">
        <x:v>Intermediário</x:v>
      </x:c>
      <x:c r="J144" t="str">
        <x:v>CAEd_DadosExportados (3).zip</x:v>
      </x:c>
    </x:row>
    <x:row r="145">
      <x:c r="A145" t="str">
        <x:v>1A009</x:v>
      </x:c>
      <x:c r="B145" t="str">
        <x:v>1º ano</x:v>
      </x:c>
      <x:c r="C145" t="str">
        <x:v>contraprova</x:v>
      </x:c>
      <x:c r="D145" t="str">
        <x:v>H08</x:v>
      </x:c>
      <x:c r="E145" t="n">
        <x:v>1</x:v>
      </x:c>
      <x:c r="F145" t="n">
        <x:v>2</x:v>
      </x:c>
      <x:c r="G145" t="n">
        <x:f>F145-E145</x:f>
        <x:v>1</x:v>
      </x:c>
      <x:c r="H145" s="2" t="n">
        <x:f>IFERROR(E145/F145,0)</x:f>
        <x:v>0.5</x:v>
      </x:c>
      <x:c r="I145" t="str">
        <x:v>Intermediário</x:v>
      </x:c>
      <x:c r="J145" t="str">
        <x:v>CAEd_DadosExportados (3).zip</x:v>
      </x:c>
    </x:row>
    <x:row r="146">
      <x:c r="A146" t="str">
        <x:v>1A009</x:v>
      </x:c>
      <x:c r="B146" t="str">
        <x:v>1º ano</x:v>
      </x:c>
      <x:c r="C146" t="str">
        <x:v>contraprova</x:v>
      </x:c>
      <x:c r="D146" t="str">
        <x:v>H09</x:v>
      </x:c>
      <x:c r="E146" t="n">
        <x:v>2</x:v>
      </x:c>
      <x:c r="F146" t="n">
        <x:v>2</x:v>
      </x:c>
      <x:c r="G146" t="n">
        <x:f>F146-E146</x:f>
        <x:v>0</x:v>
      </x:c>
      <x:c r="H146" s="2" t="n">
        <x:f>IFERROR(E146/F146,0)</x:f>
        <x:v>1</x:v>
      </x:c>
      <x:c r="I146" t="str">
        <x:v>Intermediário</x:v>
      </x:c>
      <x:c r="J146" t="str">
        <x:v>CAEd_DadosExportados (3).zip</x:v>
      </x:c>
    </x:row>
    <x:row r="147">
      <x:c r="A147" t="str">
        <x:v>1A009</x:v>
      </x:c>
      <x:c r="B147" t="str">
        <x:v>1º ano</x:v>
      </x:c>
      <x:c r="C147" t="str">
        <x:v>referencia</x:v>
      </x:c>
      <x:c r="D147" t="str">
        <x:v>H01</x:v>
      </x:c>
      <x:c r="E147" t="n">
        <x:v>0</x:v>
      </x:c>
      <x:c r="F147" t="n">
        <x:v>3</x:v>
      </x:c>
      <x:c r="G147" t="n">
        <x:f>F147-E147</x:f>
        <x:v>3</x:v>
      </x:c>
      <x:c r="H147" s="2" t="n">
        <x:f>IFERROR(E147/F147,0)</x:f>
        <x:v>0</x:v>
      </x:c>
      <x:c r="I147" t="str">
        <x:v>Defasagem</x:v>
      </x:c>
      <x:c r="J147" t="str">
        <x:v>CAEd_DadosExportados.zip</x:v>
      </x:c>
    </x:row>
    <x:row r="148">
      <x:c r="A148" t="str">
        <x:v>1A009</x:v>
      </x:c>
      <x:c r="B148" t="str">
        <x:v>1º ano</x:v>
      </x:c>
      <x:c r="C148" t="str">
        <x:v>referencia</x:v>
      </x:c>
      <x:c r="D148" t="str">
        <x:v>H02</x:v>
      </x:c>
      <x:c r="E148" t="n">
        <x:v>2</x:v>
      </x:c>
      <x:c r="F148" t="n">
        <x:v>3</x:v>
      </x:c>
      <x:c r="G148" t="n">
        <x:f>F148-E148</x:f>
        <x:v>1</x:v>
      </x:c>
      <x:c r="H148" s="2" t="n">
        <x:f>IFERROR(E148/F148,0)</x:f>
        <x:v>0.6666666666666666</x:v>
      </x:c>
      <x:c r="I148" t="str">
        <x:v>Defasagem</x:v>
      </x:c>
      <x:c r="J148" t="str">
        <x:v>CAEd_DadosExportados.zip</x:v>
      </x:c>
    </x:row>
    <x:row r="149">
      <x:c r="A149" t="str">
        <x:v>1A009</x:v>
      </x:c>
      <x:c r="B149" t="str">
        <x:v>1º ano</x:v>
      </x:c>
      <x:c r="C149" t="str">
        <x:v>referencia</x:v>
      </x:c>
      <x:c r="D149" t="str">
        <x:v>H03</x:v>
      </x:c>
      <x:c r="E149" t="n">
        <x:v>2</x:v>
      </x:c>
      <x:c r="F149" t="n">
        <x:v>3</x:v>
      </x:c>
      <x:c r="G149" t="n">
        <x:f>F149-E149</x:f>
        <x:v>1</x:v>
      </x:c>
      <x:c r="H149" s="2" t="n">
        <x:f>IFERROR(E149/F149,0)</x:f>
        <x:v>0.6666666666666666</x:v>
      </x:c>
      <x:c r="I149" t="str">
        <x:v>Defasagem</x:v>
      </x:c>
      <x:c r="J149" t="str">
        <x:v>CAEd_DadosExportados.zip</x:v>
      </x:c>
    </x:row>
    <x:row r="150">
      <x:c r="A150" t="str">
        <x:v>1A009</x:v>
      </x:c>
      <x:c r="B150" t="str">
        <x:v>1º ano</x:v>
      </x:c>
      <x:c r="C150" t="str">
        <x:v>referencia</x:v>
      </x:c>
      <x:c r="D150" t="str">
        <x:v>H04</x:v>
      </x:c>
      <x:c r="E150" t="n">
        <x:v>1</x:v>
      </x:c>
      <x:c r="F150" t="n">
        <x:v>3</x:v>
      </x:c>
      <x:c r="G150" t="n">
        <x:f>F150-E150</x:f>
        <x:v>2</x:v>
      </x:c>
      <x:c r="H150" s="2" t="n">
        <x:f>IFERROR(E150/F150,0)</x:f>
        <x:v>0.3333333333333333</x:v>
      </x:c>
      <x:c r="I150" t="str">
        <x:v>Defasagem</x:v>
      </x:c>
      <x:c r="J150" t="str">
        <x:v>CAEd_DadosExportados.zip</x:v>
      </x:c>
    </x:row>
    <x:row r="151">
      <x:c r="A151" t="str">
        <x:v>1A009</x:v>
      </x:c>
      <x:c r="B151" t="str">
        <x:v>1º ano</x:v>
      </x:c>
      <x:c r="C151" t="str">
        <x:v>referencia</x:v>
      </x:c>
      <x:c r="D151" t="str">
        <x:v>H05</x:v>
      </x:c>
      <x:c r="E151" t="n">
        <x:v>2</x:v>
      </x:c>
      <x:c r="F151" t="n">
        <x:v>3</x:v>
      </x:c>
      <x:c r="G151" t="n">
        <x:f>F151-E151</x:f>
        <x:v>1</x:v>
      </x:c>
      <x:c r="H151" s="2" t="n">
        <x:f>IFERROR(E151/F151,0)</x:f>
        <x:v>0.6666666666666666</x:v>
      </x:c>
      <x:c r="I151" t="str">
        <x:v>Defasagem</x:v>
      </x:c>
      <x:c r="J151" t="str">
        <x:v>CAEd_DadosExportados.zip</x:v>
      </x:c>
    </x:row>
    <x:row r="152">
      <x:c r="A152" t="str">
        <x:v>1A009</x:v>
      </x:c>
      <x:c r="B152" t="str">
        <x:v>1º ano</x:v>
      </x:c>
      <x:c r="C152" t="str">
        <x:v>referencia</x:v>
      </x:c>
      <x:c r="D152" t="str">
        <x:v>H06</x:v>
      </x:c>
      <x:c r="E152" t="n">
        <x:v>2</x:v>
      </x:c>
      <x:c r="F152" t="n">
        <x:v>3</x:v>
      </x:c>
      <x:c r="G152" t="n">
        <x:f>F152-E152</x:f>
        <x:v>1</x:v>
      </x:c>
      <x:c r="H152" s="2" t="n">
        <x:f>IFERROR(E152/F152,0)</x:f>
        <x:v>0.6666666666666666</x:v>
      </x:c>
      <x:c r="I152" t="str">
        <x:v>Defasagem</x:v>
      </x:c>
      <x:c r="J152" t="str">
        <x:v>CAEd_DadosExportados.zip</x:v>
      </x:c>
    </x:row>
    <x:row r="153">
      <x:c r="A153" t="str">
        <x:v>1A009</x:v>
      </x:c>
      <x:c r="B153" t="str">
        <x:v>1º ano</x:v>
      </x:c>
      <x:c r="C153" t="str">
        <x:v>referencia</x:v>
      </x:c>
      <x:c r="D153" t="str">
        <x:v>H07</x:v>
      </x:c>
      <x:c r="E153" t="n">
        <x:v>0</x:v>
      </x:c>
      <x:c r="F153" t="n">
        <x:v>2</x:v>
      </x:c>
      <x:c r="G153" t="n">
        <x:f>F153-E153</x:f>
        <x:v>2</x:v>
      </x:c>
      <x:c r="H153" s="2" t="n">
        <x:f>IFERROR(E153/F153,0)</x:f>
        <x:v>0</x:v>
      </x:c>
      <x:c r="I153" t="str">
        <x:v>Defasagem</x:v>
      </x:c>
      <x:c r="J153" t="str">
        <x:v>CAEd_DadosExportados.zip</x:v>
      </x:c>
    </x:row>
    <x:row r="154">
      <x:c r="A154" t="str">
        <x:v>1A009</x:v>
      </x:c>
      <x:c r="B154" t="str">
        <x:v>1º ano</x:v>
      </x:c>
      <x:c r="C154" t="str">
        <x:v>referencia</x:v>
      </x:c>
      <x:c r="D154" t="str">
        <x:v>H08</x:v>
      </x:c>
      <x:c r="E154" t="n">
        <x:v>2</x:v>
      </x:c>
      <x:c r="F154" t="n">
        <x:v>2</x:v>
      </x:c>
      <x:c r="G154" t="n">
        <x:f>F154-E154</x:f>
        <x:v>0</x:v>
      </x:c>
      <x:c r="H154" s="2" t="n">
        <x:f>IFERROR(E154/F154,0)</x:f>
        <x:v>1</x:v>
      </x:c>
      <x:c r="I154" t="str">
        <x:v>Defasagem</x:v>
      </x:c>
      <x:c r="J154" t="str">
        <x:v>CAEd_DadosExportados.zip</x:v>
      </x:c>
    </x:row>
    <x:row r="155">
      <x:c r="A155" t="str">
        <x:v>1A010</x:v>
      </x:c>
      <x:c r="B155" t="str">
        <x:v>1º ano</x:v>
      </x:c>
      <x:c r="C155" t="str">
        <x:v>contraprova</x:v>
      </x:c>
      <x:c r="D155" t="str">
        <x:v>H01</x:v>
      </x:c>
      <x:c r="E155" t="n">
        <x:v>1</x:v>
      </x:c>
      <x:c r="F155" t="n">
        <x:v>2</x:v>
      </x:c>
      <x:c r="G155" t="n">
        <x:f>F155-E155</x:f>
        <x:v>1</x:v>
      </x:c>
      <x:c r="H155" s="2" t="n">
        <x:f>IFERROR(E155/F155,0)</x:f>
        <x:v>0.5</x:v>
      </x:c>
      <x:c r="I155" t="str">
        <x:v>Intermediário</x:v>
      </x:c>
      <x:c r="J155" t="str">
        <x:v>CAEd_DadosExportados (3).zip</x:v>
      </x:c>
    </x:row>
    <x:row r="156">
      <x:c r="A156" t="str">
        <x:v>1A010</x:v>
      </x:c>
      <x:c r="B156" t="str">
        <x:v>1º ano</x:v>
      </x:c>
      <x:c r="C156" t="str">
        <x:v>contraprova</x:v>
      </x:c>
      <x:c r="D156" t="str">
        <x:v>H02</x:v>
      </x:c>
      <x:c r="E156" t="n">
        <x:v>1</x:v>
      </x:c>
      <x:c r="F156" t="n">
        <x:v>2</x:v>
      </x:c>
      <x:c r="G156" t="n">
        <x:f>F156-E156</x:f>
        <x:v>1</x:v>
      </x:c>
      <x:c r="H156" s="2" t="n">
        <x:f>IFERROR(E156/F156,0)</x:f>
        <x:v>0.5</x:v>
      </x:c>
      <x:c r="I156" t="str">
        <x:v>Intermediário</x:v>
      </x:c>
      <x:c r="J156" t="str">
        <x:v>CAEd_DadosExportados (3).zip</x:v>
      </x:c>
    </x:row>
    <x:row r="157">
      <x:c r="A157" t="str">
        <x:v>1A010</x:v>
      </x:c>
      <x:c r="B157" t="str">
        <x:v>1º ano</x:v>
      </x:c>
      <x:c r="C157" t="str">
        <x:v>contraprova</x:v>
      </x:c>
      <x:c r="D157" t="str">
        <x:v>H03</x:v>
      </x:c>
      <x:c r="E157" t="n">
        <x:v>2</x:v>
      </x:c>
      <x:c r="F157" t="n">
        <x:v>3</x:v>
      </x:c>
      <x:c r="G157" t="n">
        <x:f>F157-E157</x:f>
        <x:v>1</x:v>
      </x:c>
      <x:c r="H157" s="2" t="n">
        <x:f>IFERROR(E157/F157,0)</x:f>
        <x:v>0.6666666666666666</x:v>
      </x:c>
      <x:c r="I157" t="str">
        <x:v>Intermediário</x:v>
      </x:c>
      <x:c r="J157" t="str">
        <x:v>CAEd_DadosExportados (3).zip</x:v>
      </x:c>
    </x:row>
    <x:row r="158">
      <x:c r="A158" t="str">
        <x:v>1A010</x:v>
      </x:c>
      <x:c r="B158" t="str">
        <x:v>1º ano</x:v>
      </x:c>
      <x:c r="C158" t="str">
        <x:v>contraprova</x:v>
      </x:c>
      <x:c r="D158" t="str">
        <x:v>H04</x:v>
      </x:c>
      <x:c r="E158" t="n">
        <x:v>1</x:v>
      </x:c>
      <x:c r="F158" t="n">
        <x:v>3</x:v>
      </x:c>
      <x:c r="G158" t="n">
        <x:f>F158-E158</x:f>
        <x:v>2</x:v>
      </x:c>
      <x:c r="H158" s="2" t="n">
        <x:f>IFERROR(E158/F158,0)</x:f>
        <x:v>0.3333333333333333</x:v>
      </x:c>
      <x:c r="I158" t="str">
        <x:v>Intermediário</x:v>
      </x:c>
      <x:c r="J158" t="str">
        <x:v>CAEd_DadosExportados (3).zip</x:v>
      </x:c>
    </x:row>
    <x:row r="159">
      <x:c r="A159" t="str">
        <x:v>1A010</x:v>
      </x:c>
      <x:c r="B159" t="str">
        <x:v>1º ano</x:v>
      </x:c>
      <x:c r="C159" t="str">
        <x:v>contraprova</x:v>
      </x:c>
      <x:c r="D159" t="str">
        <x:v>H05</x:v>
      </x:c>
      <x:c r="E159" t="n">
        <x:v>2</x:v>
      </x:c>
      <x:c r="F159" t="n">
        <x:v>3</x:v>
      </x:c>
      <x:c r="G159" t="n">
        <x:f>F159-E159</x:f>
        <x:v>1</x:v>
      </x:c>
      <x:c r="H159" s="2" t="n">
        <x:f>IFERROR(E159/F159,0)</x:f>
        <x:v>0.6666666666666666</x:v>
      </x:c>
      <x:c r="I159" t="str">
        <x:v>Intermediário</x:v>
      </x:c>
      <x:c r="J159" t="str">
        <x:v>CAEd_DadosExportados (3).zip</x:v>
      </x:c>
    </x:row>
    <x:row r="160">
      <x:c r="A160" t="str">
        <x:v>1A010</x:v>
      </x:c>
      <x:c r="B160" t="str">
        <x:v>1º ano</x:v>
      </x:c>
      <x:c r="C160" t="str">
        <x:v>contraprova</x:v>
      </x:c>
      <x:c r="D160" t="str">
        <x:v>H06</x:v>
      </x:c>
      <x:c r="E160" t="n">
        <x:v>2</x:v>
      </x:c>
      <x:c r="F160" t="n">
        <x:v>3</x:v>
      </x:c>
      <x:c r="G160" t="n">
        <x:f>F160-E160</x:f>
        <x:v>1</x:v>
      </x:c>
      <x:c r="H160" s="2" t="n">
        <x:f>IFERROR(E160/F160,0)</x:f>
        <x:v>0.6666666666666666</x:v>
      </x:c>
      <x:c r="I160" t="str">
        <x:v>Intermediário</x:v>
      </x:c>
      <x:c r="J160" t="str">
        <x:v>CAEd_DadosExportados (3).zip</x:v>
      </x:c>
    </x:row>
    <x:row r="161">
      <x:c r="A161" t="str">
        <x:v>1A010</x:v>
      </x:c>
      <x:c r="B161" t="str">
        <x:v>1º ano</x:v>
      </x:c>
      <x:c r="C161" t="str">
        <x:v>contraprova</x:v>
      </x:c>
      <x:c r="D161" t="str">
        <x:v>H07</x:v>
      </x:c>
      <x:c r="E161" t="n">
        <x:v>0</x:v>
      </x:c>
      <x:c r="F161" t="n">
        <x:v>2</x:v>
      </x:c>
      <x:c r="G161" t="n">
        <x:f>F161-E161</x:f>
        <x:v>2</x:v>
      </x:c>
      <x:c r="H161" s="2" t="n">
        <x:f>IFERROR(E161/F161,0)</x:f>
        <x:v>0</x:v>
      </x:c>
      <x:c r="I161" t="str">
        <x:v>Intermediário</x:v>
      </x:c>
      <x:c r="J161" t="str">
        <x:v>CAEd_DadosExportados (3).zip</x:v>
      </x:c>
    </x:row>
    <x:row r="162">
      <x:c r="A162" t="str">
        <x:v>1A010</x:v>
      </x:c>
      <x:c r="B162" t="str">
        <x:v>1º ano</x:v>
      </x:c>
      <x:c r="C162" t="str">
        <x:v>contraprova</x:v>
      </x:c>
      <x:c r="D162" t="str">
        <x:v>H08</x:v>
      </x:c>
      <x:c r="E162" t="n">
        <x:v>2</x:v>
      </x:c>
      <x:c r="F162" t="n">
        <x:v>2</x:v>
      </x:c>
      <x:c r="G162" t="n">
        <x:f>F162-E162</x:f>
        <x:v>0</x:v>
      </x:c>
      <x:c r="H162" s="2" t="n">
        <x:f>IFERROR(E162/F162,0)</x:f>
        <x:v>1</x:v>
      </x:c>
      <x:c r="I162" t="str">
        <x:v>Intermediário</x:v>
      </x:c>
      <x:c r="J162" t="str">
        <x:v>CAEd_DadosExportados (3).zip</x:v>
      </x:c>
    </x:row>
    <x:row r="163">
      <x:c r="A163" t="str">
        <x:v>1A010</x:v>
      </x:c>
      <x:c r="B163" t="str">
        <x:v>1º ano</x:v>
      </x:c>
      <x:c r="C163" t="str">
        <x:v>contraprova</x:v>
      </x:c>
      <x:c r="D163" t="str">
        <x:v>H09</x:v>
      </x:c>
      <x:c r="E163" t="n">
        <x:v>2</x:v>
      </x:c>
      <x:c r="F163" t="n">
        <x:v>2</x:v>
      </x:c>
      <x:c r="G163" t="n">
        <x:f>F163-E163</x:f>
        <x:v>0</x:v>
      </x:c>
      <x:c r="H163" s="2" t="n">
        <x:f>IFERROR(E163/F163,0)</x:f>
        <x:v>1</x:v>
      </x:c>
      <x:c r="I163" t="str">
        <x:v>Intermediário</x:v>
      </x:c>
      <x:c r="J163" t="str">
        <x:v>CAEd_DadosExportados (3).zip</x:v>
      </x:c>
    </x:row>
    <x:row r="164">
      <x:c r="A164" t="str">
        <x:v>1A010</x:v>
      </x:c>
      <x:c r="B164" t="str">
        <x:v>1º ano</x:v>
      </x:c>
      <x:c r="C164" t="str">
        <x:v>referencia</x:v>
      </x:c>
      <x:c r="D164" t="str">
        <x:v>H01</x:v>
      </x:c>
      <x:c r="E164" t="n">
        <x:v>1</x:v>
      </x:c>
      <x:c r="F164" t="n">
        <x:v>3</x:v>
      </x:c>
      <x:c r="G164" t="n">
        <x:f>F164-E164</x:f>
        <x:v>2</x:v>
      </x:c>
      <x:c r="H164" s="2" t="n">
        <x:f>IFERROR(E164/F164,0)</x:f>
        <x:v>0.3333333333333333</x:v>
      </x:c>
      <x:c r="I164" t="str">
        <x:v>Intermediário</x:v>
      </x:c>
      <x:c r="J164" t="str">
        <x:v>CAEd_DadosExportados.zip</x:v>
      </x:c>
    </x:row>
    <x:row r="165">
      <x:c r="A165" t="str">
        <x:v>1A010</x:v>
      </x:c>
      <x:c r="B165" t="str">
        <x:v>1º ano</x:v>
      </x:c>
      <x:c r="C165" t="str">
        <x:v>referencia</x:v>
      </x:c>
      <x:c r="D165" t="str">
        <x:v>H02</x:v>
      </x:c>
      <x:c r="E165" t="n">
        <x:v>2</x:v>
      </x:c>
      <x:c r="F165" t="n">
        <x:v>3</x:v>
      </x:c>
      <x:c r="G165" t="n">
        <x:f>F165-E165</x:f>
        <x:v>1</x:v>
      </x:c>
      <x:c r="H165" s="2" t="n">
        <x:f>IFERROR(E165/F165,0)</x:f>
        <x:v>0.6666666666666666</x:v>
      </x:c>
      <x:c r="I165" t="str">
        <x:v>Intermediário</x:v>
      </x:c>
      <x:c r="J165" t="str">
        <x:v>CAEd_DadosExportados.zip</x:v>
      </x:c>
    </x:row>
    <x:row r="166">
      <x:c r="A166" t="str">
        <x:v>1A010</x:v>
      </x:c>
      <x:c r="B166" t="str">
        <x:v>1º ano</x:v>
      </x:c>
      <x:c r="C166" t="str">
        <x:v>referencia</x:v>
      </x:c>
      <x:c r="D166" t="str">
        <x:v>H03</x:v>
      </x:c>
      <x:c r="E166" t="n">
        <x:v>1</x:v>
      </x:c>
      <x:c r="F166" t="n">
        <x:v>3</x:v>
      </x:c>
      <x:c r="G166" t="n">
        <x:f>F166-E166</x:f>
        <x:v>2</x:v>
      </x:c>
      <x:c r="H166" s="2" t="n">
        <x:f>IFERROR(E166/F166,0)</x:f>
        <x:v>0.3333333333333333</x:v>
      </x:c>
      <x:c r="I166" t="str">
        <x:v>Intermediário</x:v>
      </x:c>
      <x:c r="J166" t="str">
        <x:v>CAEd_DadosExportados.zip</x:v>
      </x:c>
    </x:row>
    <x:row r="167">
      <x:c r="A167" t="str">
        <x:v>1A010</x:v>
      </x:c>
      <x:c r="B167" t="str">
        <x:v>1º ano</x:v>
      </x:c>
      <x:c r="C167" t="str">
        <x:v>referencia</x:v>
      </x:c>
      <x:c r="D167" t="str">
        <x:v>H04</x:v>
      </x:c>
      <x:c r="E167" t="n">
        <x:v>2</x:v>
      </x:c>
      <x:c r="F167" t="n">
        <x:v>3</x:v>
      </x:c>
      <x:c r="G167" t="n">
        <x:f>F167-E167</x:f>
        <x:v>1</x:v>
      </x:c>
      <x:c r="H167" s="2" t="n">
        <x:f>IFERROR(E167/F167,0)</x:f>
        <x:v>0.6666666666666666</x:v>
      </x:c>
      <x:c r="I167" t="str">
        <x:v>Intermediário</x:v>
      </x:c>
      <x:c r="J167" t="str">
        <x:v>CAEd_DadosExportados.zip</x:v>
      </x:c>
    </x:row>
    <x:row r="168">
      <x:c r="A168" t="str">
        <x:v>1A010</x:v>
      </x:c>
      <x:c r="B168" t="str">
        <x:v>1º ano</x:v>
      </x:c>
      <x:c r="C168" t="str">
        <x:v>referencia</x:v>
      </x:c>
      <x:c r="D168" t="str">
        <x:v>H05</x:v>
      </x:c>
      <x:c r="E168" t="n">
        <x:v>3</x:v>
      </x:c>
      <x:c r="F168" t="n">
        <x:v>3</x:v>
      </x:c>
      <x:c r="G168" t="n">
        <x:f>F168-E168</x:f>
        <x:v>0</x:v>
      </x:c>
      <x:c r="H168" s="2" t="n">
        <x:f>IFERROR(E168/F168,0)</x:f>
        <x:v>1</x:v>
      </x:c>
      <x:c r="I168" t="str">
        <x:v>Intermediário</x:v>
      </x:c>
      <x:c r="J168" t="str">
        <x:v>CAEd_DadosExportados.zip</x:v>
      </x:c>
    </x:row>
    <x:row r="169">
      <x:c r="A169" t="str">
        <x:v>1A010</x:v>
      </x:c>
      <x:c r="B169" t="str">
        <x:v>1º ano</x:v>
      </x:c>
      <x:c r="C169" t="str">
        <x:v>referencia</x:v>
      </x:c>
      <x:c r="D169" t="str">
        <x:v>H06</x:v>
      </x:c>
      <x:c r="E169" t="n">
        <x:v>2</x:v>
      </x:c>
      <x:c r="F169" t="n">
        <x:v>3</x:v>
      </x:c>
      <x:c r="G169" t="n">
        <x:f>F169-E169</x:f>
        <x:v>1</x:v>
      </x:c>
      <x:c r="H169" s="2" t="n">
        <x:f>IFERROR(E169/F169,0)</x:f>
        <x:v>0.6666666666666666</x:v>
      </x:c>
      <x:c r="I169" t="str">
        <x:v>Intermediário</x:v>
      </x:c>
      <x:c r="J169" t="str">
        <x:v>CAEd_DadosExportados.zip</x:v>
      </x:c>
    </x:row>
    <x:row r="170">
      <x:c r="A170" t="str">
        <x:v>1A010</x:v>
      </x:c>
      <x:c r="B170" t="str">
        <x:v>1º ano</x:v>
      </x:c>
      <x:c r="C170" t="str">
        <x:v>referencia</x:v>
      </x:c>
      <x:c r="D170" t="str">
        <x:v>H07</x:v>
      </x:c>
      <x:c r="E170" t="n">
        <x:v>1</x:v>
      </x:c>
      <x:c r="F170" t="n">
        <x:v>2</x:v>
      </x:c>
      <x:c r="G170" t="n">
        <x:f>F170-E170</x:f>
        <x:v>1</x:v>
      </x:c>
      <x:c r="H170" s="2" t="n">
        <x:f>IFERROR(E170/F170,0)</x:f>
        <x:v>0.5</x:v>
      </x:c>
      <x:c r="I170" t="str">
        <x:v>Intermediário</x:v>
      </x:c>
      <x:c r="J170" t="str">
        <x:v>CAEd_DadosExportados.zip</x:v>
      </x:c>
    </x:row>
    <x:row r="171">
      <x:c r="A171" t="str">
        <x:v>1A010</x:v>
      </x:c>
      <x:c r="B171" t="str">
        <x:v>1º ano</x:v>
      </x:c>
      <x:c r="C171" t="str">
        <x:v>referencia</x:v>
      </x:c>
      <x:c r="D171" t="str">
        <x:v>H08</x:v>
      </x:c>
      <x:c r="E171" t="n">
        <x:v>1</x:v>
      </x:c>
      <x:c r="F171" t="n">
        <x:v>2</x:v>
      </x:c>
      <x:c r="G171" t="n">
        <x:f>F171-E171</x:f>
        <x:v>1</x:v>
      </x:c>
      <x:c r="H171" s="2" t="n">
        <x:f>IFERROR(E171/F171,0)</x:f>
        <x:v>0.5</x:v>
      </x:c>
      <x:c r="I171" t="str">
        <x:v>Intermediário</x:v>
      </x:c>
      <x:c r="J171" t="str">
        <x:v>CAEd_DadosExportados.zip</x:v>
      </x:c>
    </x:row>
    <x:row r="172">
      <x:c r="A172" t="str">
        <x:v>1A011</x:v>
      </x:c>
      <x:c r="B172" t="str">
        <x:v>1º ano</x:v>
      </x:c>
      <x:c r="C172" t="str">
        <x:v>contraprova</x:v>
      </x:c>
      <x:c r="D172" t="str">
        <x:v>H01</x:v>
      </x:c>
      <x:c r="E172" t="n">
        <x:v>1</x:v>
      </x:c>
      <x:c r="F172" t="n">
        <x:v>2</x:v>
      </x:c>
      <x:c r="G172" t="n">
        <x:f>F172-E172</x:f>
        <x:v>1</x:v>
      </x:c>
      <x:c r="H172" s="2" t="n">
        <x:f>IFERROR(E172/F172,0)</x:f>
        <x:v>0.5</x:v>
      </x:c>
      <x:c r="I172" t="str">
        <x:v>Intermediário</x:v>
      </x:c>
      <x:c r="J172" t="str">
        <x:v>CAEd_DadosExportados (3).zip</x:v>
      </x:c>
    </x:row>
    <x:row r="173">
      <x:c r="A173" t="str">
        <x:v>1A011</x:v>
      </x:c>
      <x:c r="B173" t="str">
        <x:v>1º ano</x:v>
      </x:c>
      <x:c r="C173" t="str">
        <x:v>contraprova</x:v>
      </x:c>
      <x:c r="D173" t="str">
        <x:v>H02</x:v>
      </x:c>
      <x:c r="E173" t="n">
        <x:v>2</x:v>
      </x:c>
      <x:c r="F173" t="n">
        <x:v>2</x:v>
      </x:c>
      <x:c r="G173" t="n">
        <x:f>F173-E173</x:f>
        <x:v>0</x:v>
      </x:c>
      <x:c r="H173" s="2" t="n">
        <x:f>IFERROR(E173/F173,0)</x:f>
        <x:v>1</x:v>
      </x:c>
      <x:c r="I173" t="str">
        <x:v>Intermediário</x:v>
      </x:c>
      <x:c r="J173" t="str">
        <x:v>CAEd_DadosExportados (3).zip</x:v>
      </x:c>
    </x:row>
    <x:row r="174">
      <x:c r="A174" t="str">
        <x:v>1A011</x:v>
      </x:c>
      <x:c r="B174" t="str">
        <x:v>1º ano</x:v>
      </x:c>
      <x:c r="C174" t="str">
        <x:v>contraprova</x:v>
      </x:c>
      <x:c r="D174" t="str">
        <x:v>H03</x:v>
      </x:c>
      <x:c r="E174" t="n">
        <x:v>3</x:v>
      </x:c>
      <x:c r="F174" t="n">
        <x:v>3</x:v>
      </x:c>
      <x:c r="G174" t="n">
        <x:f>F174-E174</x:f>
        <x:v>0</x:v>
      </x:c>
      <x:c r="H174" s="2" t="n">
        <x:f>IFERROR(E174/F174,0)</x:f>
        <x:v>1</x:v>
      </x:c>
      <x:c r="I174" t="str">
        <x:v>Intermediário</x:v>
      </x:c>
      <x:c r="J174" t="str">
        <x:v>CAEd_DadosExportados (3).zip</x:v>
      </x:c>
    </x:row>
    <x:row r="175">
      <x:c r="A175" t="str">
        <x:v>1A011</x:v>
      </x:c>
      <x:c r="B175" t="str">
        <x:v>1º ano</x:v>
      </x:c>
      <x:c r="C175" t="str">
        <x:v>contraprova</x:v>
      </x:c>
      <x:c r="D175" t="str">
        <x:v>H04</x:v>
      </x:c>
      <x:c r="E175" t="n">
        <x:v>0</x:v>
      </x:c>
      <x:c r="F175" t="n">
        <x:v>3</x:v>
      </x:c>
      <x:c r="G175" t="n">
        <x:f>F175-E175</x:f>
        <x:v>3</x:v>
      </x:c>
      <x:c r="H175" s="2" t="n">
        <x:f>IFERROR(E175/F175,0)</x:f>
        <x:v>0</x:v>
      </x:c>
      <x:c r="I175" t="str">
        <x:v>Intermediário</x:v>
      </x:c>
      <x:c r="J175" t="str">
        <x:v>CAEd_DadosExportados (3).zip</x:v>
      </x:c>
    </x:row>
    <x:row r="176">
      <x:c r="A176" t="str">
        <x:v>1A011</x:v>
      </x:c>
      <x:c r="B176" t="str">
        <x:v>1º ano</x:v>
      </x:c>
      <x:c r="C176" t="str">
        <x:v>contraprova</x:v>
      </x:c>
      <x:c r="D176" t="str">
        <x:v>H05</x:v>
      </x:c>
      <x:c r="E176" t="n">
        <x:v>1</x:v>
      </x:c>
      <x:c r="F176" t="n">
        <x:v>3</x:v>
      </x:c>
      <x:c r="G176" t="n">
        <x:f>F176-E176</x:f>
        <x:v>2</x:v>
      </x:c>
      <x:c r="H176" s="2" t="n">
        <x:f>IFERROR(E176/F176,0)</x:f>
        <x:v>0.3333333333333333</x:v>
      </x:c>
      <x:c r="I176" t="str">
        <x:v>Intermediário</x:v>
      </x:c>
      <x:c r="J176" t="str">
        <x:v>CAEd_DadosExportados (3).zip</x:v>
      </x:c>
    </x:row>
    <x:row r="177">
      <x:c r="A177" t="str">
        <x:v>1A011</x:v>
      </x:c>
      <x:c r="B177" t="str">
        <x:v>1º ano</x:v>
      </x:c>
      <x:c r="C177" t="str">
        <x:v>contraprova</x:v>
      </x:c>
      <x:c r="D177" t="str">
        <x:v>H06</x:v>
      </x:c>
      <x:c r="E177" t="n">
        <x:v>3</x:v>
      </x:c>
      <x:c r="F177" t="n">
        <x:v>3</x:v>
      </x:c>
      <x:c r="G177" t="n">
        <x:f>F177-E177</x:f>
        <x:v>0</x:v>
      </x:c>
      <x:c r="H177" s="2" t="n">
        <x:f>IFERROR(E177/F177,0)</x:f>
        <x:v>1</x:v>
      </x:c>
      <x:c r="I177" t="str">
        <x:v>Intermediário</x:v>
      </x:c>
      <x:c r="J177" t="str">
        <x:v>CAEd_DadosExportados (3).zip</x:v>
      </x:c>
    </x:row>
    <x:row r="178">
      <x:c r="A178" t="str">
        <x:v>1A011</x:v>
      </x:c>
      <x:c r="B178" t="str">
        <x:v>1º ano</x:v>
      </x:c>
      <x:c r="C178" t="str">
        <x:v>contraprova</x:v>
      </x:c>
      <x:c r="D178" t="str">
        <x:v>H07</x:v>
      </x:c>
      <x:c r="E178" t="n">
        <x:v>1</x:v>
      </x:c>
      <x:c r="F178" t="n">
        <x:v>2</x:v>
      </x:c>
      <x:c r="G178" t="n">
        <x:f>F178-E178</x:f>
        <x:v>1</x:v>
      </x:c>
      <x:c r="H178" s="2" t="n">
        <x:f>IFERROR(E178/F178,0)</x:f>
        <x:v>0.5</x:v>
      </x:c>
      <x:c r="I178" t="str">
        <x:v>Intermediário</x:v>
      </x:c>
      <x:c r="J178" t="str">
        <x:v>CAEd_DadosExportados (3).zip</x:v>
      </x:c>
    </x:row>
    <x:row r="179">
      <x:c r="A179" t="str">
        <x:v>1A011</x:v>
      </x:c>
      <x:c r="B179" t="str">
        <x:v>1º ano</x:v>
      </x:c>
      <x:c r="C179" t="str">
        <x:v>contraprova</x:v>
      </x:c>
      <x:c r="D179" t="str">
        <x:v>H08</x:v>
      </x:c>
      <x:c r="E179" t="n">
        <x:v>2</x:v>
      </x:c>
      <x:c r="F179" t="n">
        <x:v>2</x:v>
      </x:c>
      <x:c r="G179" t="n">
        <x:f>F179-E179</x:f>
        <x:v>0</x:v>
      </x:c>
      <x:c r="H179" s="2" t="n">
        <x:f>IFERROR(E179/F179,0)</x:f>
        <x:v>1</x:v>
      </x:c>
      <x:c r="I179" t="str">
        <x:v>Intermediário</x:v>
      </x:c>
      <x:c r="J179" t="str">
        <x:v>CAEd_DadosExportados (3).zip</x:v>
      </x:c>
    </x:row>
    <x:row r="180">
      <x:c r="A180" t="str">
        <x:v>1A011</x:v>
      </x:c>
      <x:c r="B180" t="str">
        <x:v>1º ano</x:v>
      </x:c>
      <x:c r="C180" t="str">
        <x:v>contraprova</x:v>
      </x:c>
      <x:c r="D180" t="str">
        <x:v>H09</x:v>
      </x:c>
      <x:c r="E180" t="n">
        <x:v>2</x:v>
      </x:c>
      <x:c r="F180" t="n">
        <x:v>2</x:v>
      </x:c>
      <x:c r="G180" t="n">
        <x:f>F180-E180</x:f>
        <x:v>0</x:v>
      </x:c>
      <x:c r="H180" s="2" t="n">
        <x:f>IFERROR(E180/F180,0)</x:f>
        <x:v>1</x:v>
      </x:c>
      <x:c r="I180" t="str">
        <x:v>Intermediário</x:v>
      </x:c>
      <x:c r="J180" t="str">
        <x:v>CAEd_DadosExportados (3).zip</x:v>
      </x:c>
    </x:row>
    <x:row r="181">
      <x:c r="A181" t="str">
        <x:v>1A011</x:v>
      </x:c>
      <x:c r="B181" t="str">
        <x:v>1º ano</x:v>
      </x:c>
      <x:c r="C181" t="str">
        <x:v>referencia</x:v>
      </x:c>
      <x:c r="D181" t="str">
        <x:v>H01</x:v>
      </x:c>
      <x:c r="E181" t="n">
        <x:v>3</x:v>
      </x:c>
      <x:c r="F181" t="n">
        <x:v>3</x:v>
      </x:c>
      <x:c r="G181" t="n">
        <x:f>F181-E181</x:f>
        <x:v>0</x:v>
      </x:c>
      <x:c r="H181" s="2" t="n">
        <x:f>IFERROR(E181/F181,0)</x:f>
        <x:v>1</x:v>
      </x:c>
      <x:c r="I181" t="str">
        <x:v>Adequado</x:v>
      </x:c>
      <x:c r="J181" t="str">
        <x:v>CAEd_DadosExportados.zip</x:v>
      </x:c>
    </x:row>
    <x:row r="182">
      <x:c r="A182" t="str">
        <x:v>1A011</x:v>
      </x:c>
      <x:c r="B182" t="str">
        <x:v>1º ano</x:v>
      </x:c>
      <x:c r="C182" t="str">
        <x:v>referencia</x:v>
      </x:c>
      <x:c r="D182" t="str">
        <x:v>H02</x:v>
      </x:c>
      <x:c r="E182" t="n">
        <x:v>3</x:v>
      </x:c>
      <x:c r="F182" t="n">
        <x:v>3</x:v>
      </x:c>
      <x:c r="G182" t="n">
        <x:f>F182-E182</x:f>
        <x:v>0</x:v>
      </x:c>
      <x:c r="H182" s="2" t="n">
        <x:f>IFERROR(E182/F182,0)</x:f>
        <x:v>1</x:v>
      </x:c>
      <x:c r="I182" t="str">
        <x:v>Adequado</x:v>
      </x:c>
      <x:c r="J182" t="str">
        <x:v>CAEd_DadosExportados.zip</x:v>
      </x:c>
    </x:row>
    <x:row r="183">
      <x:c r="A183" t="str">
        <x:v>1A011</x:v>
      </x:c>
      <x:c r="B183" t="str">
        <x:v>1º ano</x:v>
      </x:c>
      <x:c r="C183" t="str">
        <x:v>referencia</x:v>
      </x:c>
      <x:c r="D183" t="str">
        <x:v>H03</x:v>
      </x:c>
      <x:c r="E183" t="n">
        <x:v>3</x:v>
      </x:c>
      <x:c r="F183" t="n">
        <x:v>3</x:v>
      </x:c>
      <x:c r="G183" t="n">
        <x:f>F183-E183</x:f>
        <x:v>0</x:v>
      </x:c>
      <x:c r="H183" s="2" t="n">
        <x:f>IFERROR(E183/F183,0)</x:f>
        <x:v>1</x:v>
      </x:c>
      <x:c r="I183" t="str">
        <x:v>Adequado</x:v>
      </x:c>
      <x:c r="J183" t="str">
        <x:v>CAEd_DadosExportados.zip</x:v>
      </x:c>
    </x:row>
    <x:row r="184">
      <x:c r="A184" t="str">
        <x:v>1A011</x:v>
      </x:c>
      <x:c r="B184" t="str">
        <x:v>1º ano</x:v>
      </x:c>
      <x:c r="C184" t="str">
        <x:v>referencia</x:v>
      </x:c>
      <x:c r="D184" t="str">
        <x:v>H04</x:v>
      </x:c>
      <x:c r="E184" t="n">
        <x:v>3</x:v>
      </x:c>
      <x:c r="F184" t="n">
        <x:v>3</x:v>
      </x:c>
      <x:c r="G184" t="n">
        <x:f>F184-E184</x:f>
        <x:v>0</x:v>
      </x:c>
      <x:c r="H184" s="2" t="n">
        <x:f>IFERROR(E184/F184,0)</x:f>
        <x:v>1</x:v>
      </x:c>
      <x:c r="I184" t="str">
        <x:v>Adequado</x:v>
      </x:c>
      <x:c r="J184" t="str">
        <x:v>CAEd_DadosExportados.zip</x:v>
      </x:c>
    </x:row>
    <x:row r="185">
      <x:c r="A185" t="str">
        <x:v>1A011</x:v>
      </x:c>
      <x:c r="B185" t="str">
        <x:v>1º ano</x:v>
      </x:c>
      <x:c r="C185" t="str">
        <x:v>referencia</x:v>
      </x:c>
      <x:c r="D185" t="str">
        <x:v>H05</x:v>
      </x:c>
      <x:c r="E185" t="n">
        <x:v>3</x:v>
      </x:c>
      <x:c r="F185" t="n">
        <x:v>3</x:v>
      </x:c>
      <x:c r="G185" t="n">
        <x:f>F185-E185</x:f>
        <x:v>0</x:v>
      </x:c>
      <x:c r="H185" s="2" t="n">
        <x:f>IFERROR(E185/F185,0)</x:f>
        <x:v>1</x:v>
      </x:c>
      <x:c r="I185" t="str">
        <x:v>Adequado</x:v>
      </x:c>
      <x:c r="J185" t="str">
        <x:v>CAEd_DadosExportados.zip</x:v>
      </x:c>
    </x:row>
    <x:row r="186">
      <x:c r="A186" t="str">
        <x:v>1A011</x:v>
      </x:c>
      <x:c r="B186" t="str">
        <x:v>1º ano</x:v>
      </x:c>
      <x:c r="C186" t="str">
        <x:v>referencia</x:v>
      </x:c>
      <x:c r="D186" t="str">
        <x:v>H06</x:v>
      </x:c>
      <x:c r="E186" t="n">
        <x:v>2</x:v>
      </x:c>
      <x:c r="F186" t="n">
        <x:v>3</x:v>
      </x:c>
      <x:c r="G186" t="n">
        <x:f>F186-E186</x:f>
        <x:v>1</x:v>
      </x:c>
      <x:c r="H186" s="2" t="n">
        <x:f>IFERROR(E186/F186,0)</x:f>
        <x:v>0.6666666666666666</x:v>
      </x:c>
      <x:c r="I186" t="str">
        <x:v>Adequado</x:v>
      </x:c>
      <x:c r="J186" t="str">
        <x:v>CAEd_DadosExportados.zip</x:v>
      </x:c>
    </x:row>
    <x:row r="187">
      <x:c r="A187" t="str">
        <x:v>1A011</x:v>
      </x:c>
      <x:c r="B187" t="str">
        <x:v>1º ano</x:v>
      </x:c>
      <x:c r="C187" t="str">
        <x:v>referencia</x:v>
      </x:c>
      <x:c r="D187" t="str">
        <x:v>H07</x:v>
      </x:c>
      <x:c r="E187" t="n">
        <x:v>2</x:v>
      </x:c>
      <x:c r="F187" t="n">
        <x:v>2</x:v>
      </x:c>
      <x:c r="G187" t="n">
        <x:f>F187-E187</x:f>
        <x:v>0</x:v>
      </x:c>
      <x:c r="H187" s="2" t="n">
        <x:f>IFERROR(E187/F187,0)</x:f>
        <x:v>1</x:v>
      </x:c>
      <x:c r="I187" t="str">
        <x:v>Adequado</x:v>
      </x:c>
      <x:c r="J187" t="str">
        <x:v>CAEd_DadosExportados.zip</x:v>
      </x:c>
    </x:row>
    <x:row r="188">
      <x:c r="A188" t="str">
        <x:v>1A011</x:v>
      </x:c>
      <x:c r="B188" t="str">
        <x:v>1º ano</x:v>
      </x:c>
      <x:c r="C188" t="str">
        <x:v>referencia</x:v>
      </x:c>
      <x:c r="D188" t="str">
        <x:v>H08</x:v>
      </x:c>
      <x:c r="E188" t="n">
        <x:v>2</x:v>
      </x:c>
      <x:c r="F188" t="n">
        <x:v>2</x:v>
      </x:c>
      <x:c r="G188" t="n">
        <x:f>F188-E188</x:f>
        <x:v>0</x:v>
      </x:c>
      <x:c r="H188" s="2" t="n">
        <x:f>IFERROR(E188/F188,0)</x:f>
        <x:v>1</x:v>
      </x:c>
      <x:c r="I188" t="str">
        <x:v>Adequado</x:v>
      </x:c>
      <x:c r="J188" t="str">
        <x:v>CAEd_DadosExportados.zip</x:v>
      </x:c>
    </x:row>
    <x:row r="189">
      <x:c r="A189" t="str">
        <x:v>1A012</x:v>
      </x:c>
      <x:c r="B189" t="str">
        <x:v>1º ano</x:v>
      </x:c>
      <x:c r="C189" t="str">
        <x:v>contraprova</x:v>
      </x:c>
      <x:c r="D189" t="str">
        <x:v>H01</x:v>
      </x:c>
      <x:c r="E189" t="n">
        <x:v>2</x:v>
      </x:c>
      <x:c r="F189" t="n">
        <x:v>2</x:v>
      </x:c>
      <x:c r="G189" t="n">
        <x:f>F189-E189</x:f>
        <x:v>0</x:v>
      </x:c>
      <x:c r="H189" s="2" t="n">
        <x:f>IFERROR(E189/F189,0)</x:f>
        <x:v>1</x:v>
      </x:c>
      <x:c r="I189" t="str">
        <x:v>Adequado</x:v>
      </x:c>
      <x:c r="J189" t="str">
        <x:v>CAEd_DadosExportados (3).zip</x:v>
      </x:c>
    </x:row>
    <x:row r="190">
      <x:c r="A190" t="str">
        <x:v>1A012</x:v>
      </x:c>
      <x:c r="B190" t="str">
        <x:v>1º ano</x:v>
      </x:c>
      <x:c r="C190" t="str">
        <x:v>contraprova</x:v>
      </x:c>
      <x:c r="D190" t="str">
        <x:v>H02</x:v>
      </x:c>
      <x:c r="E190" t="n">
        <x:v>2</x:v>
      </x:c>
      <x:c r="F190" t="n">
        <x:v>2</x:v>
      </x:c>
      <x:c r="G190" t="n">
        <x:f>F190-E190</x:f>
        <x:v>0</x:v>
      </x:c>
      <x:c r="H190" s="2" t="n">
        <x:f>IFERROR(E190/F190,0)</x:f>
        <x:v>1</x:v>
      </x:c>
      <x:c r="I190" t="str">
        <x:v>Adequado</x:v>
      </x:c>
      <x:c r="J190" t="str">
        <x:v>CAEd_DadosExportados (3).zip</x:v>
      </x:c>
    </x:row>
    <x:row r="191">
      <x:c r="A191" t="str">
        <x:v>1A012</x:v>
      </x:c>
      <x:c r="B191" t="str">
        <x:v>1º ano</x:v>
      </x:c>
      <x:c r="C191" t="str">
        <x:v>contraprova</x:v>
      </x:c>
      <x:c r="D191" t="str">
        <x:v>H03</x:v>
      </x:c>
      <x:c r="E191" t="n">
        <x:v>3</x:v>
      </x:c>
      <x:c r="F191" t="n">
        <x:v>3</x:v>
      </x:c>
      <x:c r="G191" t="n">
        <x:f>F191-E191</x:f>
        <x:v>0</x:v>
      </x:c>
      <x:c r="H191" s="2" t="n">
        <x:f>IFERROR(E191/F191,0)</x:f>
        <x:v>1</x:v>
      </x:c>
      <x:c r="I191" t="str">
        <x:v>Adequado</x:v>
      </x:c>
      <x:c r="J191" t="str">
        <x:v>CAEd_DadosExportados (3).zip</x:v>
      </x:c>
    </x:row>
    <x:row r="192">
      <x:c r="A192" t="str">
        <x:v>1A012</x:v>
      </x:c>
      <x:c r="B192" t="str">
        <x:v>1º ano</x:v>
      </x:c>
      <x:c r="C192" t="str">
        <x:v>contraprova</x:v>
      </x:c>
      <x:c r="D192" t="str">
        <x:v>H04</x:v>
      </x:c>
      <x:c r="E192" t="n">
        <x:v>1</x:v>
      </x:c>
      <x:c r="F192" t="n">
        <x:v>3</x:v>
      </x:c>
      <x:c r="G192" t="n">
        <x:f>F192-E192</x:f>
        <x:v>2</x:v>
      </x:c>
      <x:c r="H192" s="2" t="n">
        <x:f>IFERROR(E192/F192,0)</x:f>
        <x:v>0.3333333333333333</x:v>
      </x:c>
      <x:c r="I192" t="str">
        <x:v>Adequado</x:v>
      </x:c>
      <x:c r="J192" t="str">
        <x:v>CAEd_DadosExportados (3).zip</x:v>
      </x:c>
    </x:row>
    <x:row r="193">
      <x:c r="A193" t="str">
        <x:v>1A012</x:v>
      </x:c>
      <x:c r="B193" t="str">
        <x:v>1º ano</x:v>
      </x:c>
      <x:c r="C193" t="str">
        <x:v>contraprova</x:v>
      </x:c>
      <x:c r="D193" t="str">
        <x:v>H05</x:v>
      </x:c>
      <x:c r="E193" t="n">
        <x:v>2</x:v>
      </x:c>
      <x:c r="F193" t="n">
        <x:v>3</x:v>
      </x:c>
      <x:c r="G193" t="n">
        <x:f>F193-E193</x:f>
        <x:v>1</x:v>
      </x:c>
      <x:c r="H193" s="2" t="n">
        <x:f>IFERROR(E193/F193,0)</x:f>
        <x:v>0.6666666666666666</x:v>
      </x:c>
      <x:c r="I193" t="str">
        <x:v>Adequado</x:v>
      </x:c>
      <x:c r="J193" t="str">
        <x:v>CAEd_DadosExportados (3).zip</x:v>
      </x:c>
    </x:row>
    <x:row r="194">
      <x:c r="A194" t="str">
        <x:v>1A012</x:v>
      </x:c>
      <x:c r="B194" t="str">
        <x:v>1º ano</x:v>
      </x:c>
      <x:c r="C194" t="str">
        <x:v>contraprova</x:v>
      </x:c>
      <x:c r="D194" t="str">
        <x:v>H06</x:v>
      </x:c>
      <x:c r="E194" t="n">
        <x:v>3</x:v>
      </x:c>
      <x:c r="F194" t="n">
        <x:v>3</x:v>
      </x:c>
      <x:c r="G194" t="n">
        <x:f>F194-E194</x:f>
        <x:v>0</x:v>
      </x:c>
      <x:c r="H194" s="2" t="n">
        <x:f>IFERROR(E194/F194,0)</x:f>
        <x:v>1</x:v>
      </x:c>
      <x:c r="I194" t="str">
        <x:v>Adequado</x:v>
      </x:c>
      <x:c r="J194" t="str">
        <x:v>CAEd_DadosExportados (3).zip</x:v>
      </x:c>
    </x:row>
    <x:row r="195">
      <x:c r="A195" t="str">
        <x:v>1A012</x:v>
      </x:c>
      <x:c r="B195" t="str">
        <x:v>1º ano</x:v>
      </x:c>
      <x:c r="C195" t="str">
        <x:v>contraprova</x:v>
      </x:c>
      <x:c r="D195" t="str">
        <x:v>H07</x:v>
      </x:c>
      <x:c r="E195" t="n">
        <x:v>2</x:v>
      </x:c>
      <x:c r="F195" t="n">
        <x:v>2</x:v>
      </x:c>
      <x:c r="G195" t="n">
        <x:f>F195-E195</x:f>
        <x:v>0</x:v>
      </x:c>
      <x:c r="H195" s="2" t="n">
        <x:f>IFERROR(E195/F195,0)</x:f>
        <x:v>1</x:v>
      </x:c>
      <x:c r="I195" t="str">
        <x:v>Adequado</x:v>
      </x:c>
      <x:c r="J195" t="str">
        <x:v>CAEd_DadosExportados (3).zip</x:v>
      </x:c>
    </x:row>
    <x:row r="196">
      <x:c r="A196" t="str">
        <x:v>1A012</x:v>
      </x:c>
      <x:c r="B196" t="str">
        <x:v>1º ano</x:v>
      </x:c>
      <x:c r="C196" t="str">
        <x:v>contraprova</x:v>
      </x:c>
      <x:c r="D196" t="str">
        <x:v>H08</x:v>
      </x:c>
      <x:c r="E196" t="n">
        <x:v>2</x:v>
      </x:c>
      <x:c r="F196" t="n">
        <x:v>2</x:v>
      </x:c>
      <x:c r="G196" t="n">
        <x:f>F196-E196</x:f>
        <x:v>0</x:v>
      </x:c>
      <x:c r="H196" s="2" t="n">
        <x:f>IFERROR(E196/F196,0)</x:f>
        <x:v>1</x:v>
      </x:c>
      <x:c r="I196" t="str">
        <x:v>Adequado</x:v>
      </x:c>
      <x:c r="J196" t="str">
        <x:v>CAEd_DadosExportados (3).zip</x:v>
      </x:c>
    </x:row>
    <x:row r="197">
      <x:c r="A197" t="str">
        <x:v>1A012</x:v>
      </x:c>
      <x:c r="B197" t="str">
        <x:v>1º ano</x:v>
      </x:c>
      <x:c r="C197" t="str">
        <x:v>contraprova</x:v>
      </x:c>
      <x:c r="D197" t="str">
        <x:v>H09</x:v>
      </x:c>
      <x:c r="E197" t="n">
        <x:v>2</x:v>
      </x:c>
      <x:c r="F197" t="n">
        <x:v>2</x:v>
      </x:c>
      <x:c r="G197" t="n">
        <x:f>F197-E197</x:f>
        <x:v>0</x:v>
      </x:c>
      <x:c r="H197" s="2" t="n">
        <x:f>IFERROR(E197/F197,0)</x:f>
        <x:v>1</x:v>
      </x:c>
      <x:c r="I197" t="str">
        <x:v>Adequado</x:v>
      </x:c>
      <x:c r="J197" t="str">
        <x:v>CAEd_DadosExportados (3).zip</x:v>
      </x:c>
    </x:row>
    <x:row r="198">
      <x:c r="A198" t="str">
        <x:v>1A012</x:v>
      </x:c>
      <x:c r="B198" t="str">
        <x:v>1º ano</x:v>
      </x:c>
      <x:c r="C198" t="str">
        <x:v>referencia</x:v>
      </x:c>
      <x:c r="D198" t="str">
        <x:v>H01</x:v>
      </x:c>
      <x:c r="E198" t="n">
        <x:v>3</x:v>
      </x:c>
      <x:c r="F198" t="n">
        <x:v>3</x:v>
      </x:c>
      <x:c r="G198" t="n">
        <x:f>F198-E198</x:f>
        <x:v>0</x:v>
      </x:c>
      <x:c r="H198" s="2" t="n">
        <x:f>IFERROR(E198/F198,0)</x:f>
        <x:v>1</x:v>
      </x:c>
      <x:c r="I198" t="str">
        <x:v>Adequado</x:v>
      </x:c>
      <x:c r="J198" t="str">
        <x:v>CAEd_DadosExportados.zip</x:v>
      </x:c>
    </x:row>
    <x:row r="199">
      <x:c r="A199" t="str">
        <x:v>1A012</x:v>
      </x:c>
      <x:c r="B199" t="str">
        <x:v>1º ano</x:v>
      </x:c>
      <x:c r="C199" t="str">
        <x:v>referencia</x:v>
      </x:c>
      <x:c r="D199" t="str">
        <x:v>H02</x:v>
      </x:c>
      <x:c r="E199" t="n">
        <x:v>3</x:v>
      </x:c>
      <x:c r="F199" t="n">
        <x:v>3</x:v>
      </x:c>
      <x:c r="G199" t="n">
        <x:f>F199-E199</x:f>
        <x:v>0</x:v>
      </x:c>
      <x:c r="H199" s="2" t="n">
        <x:f>IFERROR(E199/F199,0)</x:f>
        <x:v>1</x:v>
      </x:c>
      <x:c r="I199" t="str">
        <x:v>Adequado</x:v>
      </x:c>
      <x:c r="J199" t="str">
        <x:v>CAEd_DadosExportados.zip</x:v>
      </x:c>
    </x:row>
    <x:row r="200">
      <x:c r="A200" t="str">
        <x:v>1A012</x:v>
      </x:c>
      <x:c r="B200" t="str">
        <x:v>1º ano</x:v>
      </x:c>
      <x:c r="C200" t="str">
        <x:v>referencia</x:v>
      </x:c>
      <x:c r="D200" t="str">
        <x:v>H03</x:v>
      </x:c>
      <x:c r="E200" t="n">
        <x:v>3</x:v>
      </x:c>
      <x:c r="F200" t="n">
        <x:v>3</x:v>
      </x:c>
      <x:c r="G200" t="n">
        <x:f>F200-E200</x:f>
        <x:v>0</x:v>
      </x:c>
      <x:c r="H200" s="2" t="n">
        <x:f>IFERROR(E200/F200,0)</x:f>
        <x:v>1</x:v>
      </x:c>
      <x:c r="I200" t="str">
        <x:v>Adequado</x:v>
      </x:c>
      <x:c r="J200" t="str">
        <x:v>CAEd_DadosExportados.zip</x:v>
      </x:c>
    </x:row>
    <x:row r="201">
      <x:c r="A201" t="str">
        <x:v>1A012</x:v>
      </x:c>
      <x:c r="B201" t="str">
        <x:v>1º ano</x:v>
      </x:c>
      <x:c r="C201" t="str">
        <x:v>referencia</x:v>
      </x:c>
      <x:c r="D201" t="str">
        <x:v>H04</x:v>
      </x:c>
      <x:c r="E201" t="n">
        <x:v>3</x:v>
      </x:c>
      <x:c r="F201" t="n">
        <x:v>3</x:v>
      </x:c>
      <x:c r="G201" t="n">
        <x:f>F201-E201</x:f>
        <x:v>0</x:v>
      </x:c>
      <x:c r="H201" s="2" t="n">
        <x:f>IFERROR(E201/F201,0)</x:f>
        <x:v>1</x:v>
      </x:c>
      <x:c r="I201" t="str">
        <x:v>Adequado</x:v>
      </x:c>
      <x:c r="J201" t="str">
        <x:v>CAEd_DadosExportados.zip</x:v>
      </x:c>
    </x:row>
    <x:row r="202">
      <x:c r="A202" t="str">
        <x:v>1A012</x:v>
      </x:c>
      <x:c r="B202" t="str">
        <x:v>1º ano</x:v>
      </x:c>
      <x:c r="C202" t="str">
        <x:v>referencia</x:v>
      </x:c>
      <x:c r="D202" t="str">
        <x:v>H05</x:v>
      </x:c>
      <x:c r="E202" t="n">
        <x:v>3</x:v>
      </x:c>
      <x:c r="F202" t="n">
        <x:v>3</x:v>
      </x:c>
      <x:c r="G202" t="n">
        <x:f>F202-E202</x:f>
        <x:v>0</x:v>
      </x:c>
      <x:c r="H202" s="2" t="n">
        <x:f>IFERROR(E202/F202,0)</x:f>
        <x:v>1</x:v>
      </x:c>
      <x:c r="I202" t="str">
        <x:v>Adequado</x:v>
      </x:c>
      <x:c r="J202" t="str">
        <x:v>CAEd_DadosExportados.zip</x:v>
      </x:c>
    </x:row>
    <x:row r="203">
      <x:c r="A203" t="str">
        <x:v>1A012</x:v>
      </x:c>
      <x:c r="B203" t="str">
        <x:v>1º ano</x:v>
      </x:c>
      <x:c r="C203" t="str">
        <x:v>referencia</x:v>
      </x:c>
      <x:c r="D203" t="str">
        <x:v>H06</x:v>
      </x:c>
      <x:c r="E203" t="n">
        <x:v>3</x:v>
      </x:c>
      <x:c r="F203" t="n">
        <x:v>3</x:v>
      </x:c>
      <x:c r="G203" t="n">
        <x:f>F203-E203</x:f>
        <x:v>0</x:v>
      </x:c>
      <x:c r="H203" s="2" t="n">
        <x:f>IFERROR(E203/F203,0)</x:f>
        <x:v>1</x:v>
      </x:c>
      <x:c r="I203" t="str">
        <x:v>Adequado</x:v>
      </x:c>
      <x:c r="J203" t="str">
        <x:v>CAEd_DadosExportados.zip</x:v>
      </x:c>
    </x:row>
    <x:row r="204">
      <x:c r="A204" t="str">
        <x:v>1A012</x:v>
      </x:c>
      <x:c r="B204" t="str">
        <x:v>1º ano</x:v>
      </x:c>
      <x:c r="C204" t="str">
        <x:v>referencia</x:v>
      </x:c>
      <x:c r="D204" t="str">
        <x:v>H07</x:v>
      </x:c>
      <x:c r="E204" t="n">
        <x:v>2</x:v>
      </x:c>
      <x:c r="F204" t="n">
        <x:v>2</x:v>
      </x:c>
      <x:c r="G204" t="n">
        <x:f>F204-E204</x:f>
        <x:v>0</x:v>
      </x:c>
      <x:c r="H204" s="2" t="n">
        <x:f>IFERROR(E204/F204,0)</x:f>
        <x:v>1</x:v>
      </x:c>
      <x:c r="I204" t="str">
        <x:v>Adequado</x:v>
      </x:c>
      <x:c r="J204" t="str">
        <x:v>CAEd_DadosExportados.zip</x:v>
      </x:c>
    </x:row>
    <x:row r="205">
      <x:c r="A205" t="str">
        <x:v>1A012</x:v>
      </x:c>
      <x:c r="B205" t="str">
        <x:v>1º ano</x:v>
      </x:c>
      <x:c r="C205" t="str">
        <x:v>referencia</x:v>
      </x:c>
      <x:c r="D205" t="str">
        <x:v>H08</x:v>
      </x:c>
      <x:c r="E205" t="n">
        <x:v>2</x:v>
      </x:c>
      <x:c r="F205" t="n">
        <x:v>2</x:v>
      </x:c>
      <x:c r="G205" t="n">
        <x:f>F205-E205</x:f>
        <x:v>0</x:v>
      </x:c>
      <x:c r="H205" s="2" t="n">
        <x:f>IFERROR(E205/F205,0)</x:f>
        <x:v>1</x:v>
      </x:c>
      <x:c r="I205" t="str">
        <x:v>Adequado</x:v>
      </x:c>
      <x:c r="J205" t="str">
        <x:v>CAEd_DadosExportados.zip</x:v>
      </x:c>
    </x:row>
    <x:row r="206">
      <x:c r="A206" t="str">
        <x:v>1A013</x:v>
      </x:c>
      <x:c r="B206" t="str">
        <x:v>1º ano</x:v>
      </x:c>
      <x:c r="C206" t="str">
        <x:v>contraprova</x:v>
      </x:c>
      <x:c r="D206" t="str">
        <x:v>H01</x:v>
      </x:c>
      <x:c r="E206" t="n">
        <x:v>2</x:v>
      </x:c>
      <x:c r="F206" t="n">
        <x:v>2</x:v>
      </x:c>
      <x:c r="G206" t="n">
        <x:f>F206-E206</x:f>
        <x:v>0</x:v>
      </x:c>
      <x:c r="H206" s="2" t="n">
        <x:f>IFERROR(E206/F206,0)</x:f>
        <x:v>1</x:v>
      </x:c>
      <x:c r="I206" t="str">
        <x:v>Intermediário</x:v>
      </x:c>
      <x:c r="J206" t="str">
        <x:v>CAEd_DadosExportados (3).zip</x:v>
      </x:c>
    </x:row>
    <x:row r="207">
      <x:c r="A207" t="str">
        <x:v>1A013</x:v>
      </x:c>
      <x:c r="B207" t="str">
        <x:v>1º ano</x:v>
      </x:c>
      <x:c r="C207" t="str">
        <x:v>contraprova</x:v>
      </x:c>
      <x:c r="D207" t="str">
        <x:v>H02</x:v>
      </x:c>
      <x:c r="E207" t="n">
        <x:v>1</x:v>
      </x:c>
      <x:c r="F207" t="n">
        <x:v>2</x:v>
      </x:c>
      <x:c r="G207" t="n">
        <x:f>F207-E207</x:f>
        <x:v>1</x:v>
      </x:c>
      <x:c r="H207" s="2" t="n">
        <x:f>IFERROR(E207/F207,0)</x:f>
        <x:v>0.5</x:v>
      </x:c>
      <x:c r="I207" t="str">
        <x:v>Intermediário</x:v>
      </x:c>
      <x:c r="J207" t="str">
        <x:v>CAEd_DadosExportados (3).zip</x:v>
      </x:c>
    </x:row>
    <x:row r="208">
      <x:c r="A208" t="str">
        <x:v>1A013</x:v>
      </x:c>
      <x:c r="B208" t="str">
        <x:v>1º ano</x:v>
      </x:c>
      <x:c r="C208" t="str">
        <x:v>contraprova</x:v>
      </x:c>
      <x:c r="D208" t="str">
        <x:v>H03</x:v>
      </x:c>
      <x:c r="E208" t="n">
        <x:v>3</x:v>
      </x:c>
      <x:c r="F208" t="n">
        <x:v>3</x:v>
      </x:c>
      <x:c r="G208" t="n">
        <x:f>F208-E208</x:f>
        <x:v>0</x:v>
      </x:c>
      <x:c r="H208" s="2" t="n">
        <x:f>IFERROR(E208/F208,0)</x:f>
        <x:v>1</x:v>
      </x:c>
      <x:c r="I208" t="str">
        <x:v>Intermediário</x:v>
      </x:c>
      <x:c r="J208" t="str">
        <x:v>CAEd_DadosExportados (3).zip</x:v>
      </x:c>
    </x:row>
    <x:row r="209">
      <x:c r="A209" t="str">
        <x:v>1A013</x:v>
      </x:c>
      <x:c r="B209" t="str">
        <x:v>1º ano</x:v>
      </x:c>
      <x:c r="C209" t="str">
        <x:v>contraprova</x:v>
      </x:c>
      <x:c r="D209" t="str">
        <x:v>H04</x:v>
      </x:c>
      <x:c r="E209" t="n">
        <x:v>0</x:v>
      </x:c>
      <x:c r="F209" t="n">
        <x:v>3</x:v>
      </x:c>
      <x:c r="G209" t="n">
        <x:f>F209-E209</x:f>
        <x:v>3</x:v>
      </x:c>
      <x:c r="H209" s="2" t="n">
        <x:f>IFERROR(E209/F209,0)</x:f>
        <x:v>0</x:v>
      </x:c>
      <x:c r="I209" t="str">
        <x:v>Intermediário</x:v>
      </x:c>
      <x:c r="J209" t="str">
        <x:v>CAEd_DadosExportados (3).zip</x:v>
      </x:c>
    </x:row>
    <x:row r="210">
      <x:c r="A210" t="str">
        <x:v>1A013</x:v>
      </x:c>
      <x:c r="B210" t="str">
        <x:v>1º ano</x:v>
      </x:c>
      <x:c r="C210" t="str">
        <x:v>contraprova</x:v>
      </x:c>
      <x:c r="D210" t="str">
        <x:v>H05</x:v>
      </x:c>
      <x:c r="E210" t="n">
        <x:v>2</x:v>
      </x:c>
      <x:c r="F210" t="n">
        <x:v>3</x:v>
      </x:c>
      <x:c r="G210" t="n">
        <x:f>F210-E210</x:f>
        <x:v>1</x:v>
      </x:c>
      <x:c r="H210" s="2" t="n">
        <x:f>IFERROR(E210/F210,0)</x:f>
        <x:v>0.6666666666666666</x:v>
      </x:c>
      <x:c r="I210" t="str">
        <x:v>Intermediário</x:v>
      </x:c>
      <x:c r="J210" t="str">
        <x:v>CAEd_DadosExportados (3).zip</x:v>
      </x:c>
    </x:row>
    <x:row r="211">
      <x:c r="A211" t="str">
        <x:v>1A013</x:v>
      </x:c>
      <x:c r="B211" t="str">
        <x:v>1º ano</x:v>
      </x:c>
      <x:c r="C211" t="str">
        <x:v>contraprova</x:v>
      </x:c>
      <x:c r="D211" t="str">
        <x:v>H06</x:v>
      </x:c>
      <x:c r="E211" t="n">
        <x:v>3</x:v>
      </x:c>
      <x:c r="F211" t="n">
        <x:v>3</x:v>
      </x:c>
      <x:c r="G211" t="n">
        <x:f>F211-E211</x:f>
        <x:v>0</x:v>
      </x:c>
      <x:c r="H211" s="2" t="n">
        <x:f>IFERROR(E211/F211,0)</x:f>
        <x:v>1</x:v>
      </x:c>
      <x:c r="I211" t="str">
        <x:v>Intermediário</x:v>
      </x:c>
      <x:c r="J211" t="str">
        <x:v>CAEd_DadosExportados (3).zip</x:v>
      </x:c>
    </x:row>
    <x:row r="212">
      <x:c r="A212" t="str">
        <x:v>1A013</x:v>
      </x:c>
      <x:c r="B212" t="str">
        <x:v>1º ano</x:v>
      </x:c>
      <x:c r="C212" t="str">
        <x:v>contraprova</x:v>
      </x:c>
      <x:c r="D212" t="str">
        <x:v>H07</x:v>
      </x:c>
      <x:c r="E212" t="n">
        <x:v>1</x:v>
      </x:c>
      <x:c r="F212" t="n">
        <x:v>2</x:v>
      </x:c>
      <x:c r="G212" t="n">
        <x:f>F212-E212</x:f>
        <x:v>1</x:v>
      </x:c>
      <x:c r="H212" s="2" t="n">
        <x:f>IFERROR(E212/F212,0)</x:f>
        <x:v>0.5</x:v>
      </x:c>
      <x:c r="I212" t="str">
        <x:v>Intermediário</x:v>
      </x:c>
      <x:c r="J212" t="str">
        <x:v>CAEd_DadosExportados (3).zip</x:v>
      </x:c>
    </x:row>
    <x:row r="213">
      <x:c r="A213" t="str">
        <x:v>1A013</x:v>
      </x:c>
      <x:c r="B213" t="str">
        <x:v>1º ano</x:v>
      </x:c>
      <x:c r="C213" t="str">
        <x:v>contraprova</x:v>
      </x:c>
      <x:c r="D213" t="str">
        <x:v>H08</x:v>
      </x:c>
      <x:c r="E213" t="n">
        <x:v>2</x:v>
      </x:c>
      <x:c r="F213" t="n">
        <x:v>2</x:v>
      </x:c>
      <x:c r="G213" t="n">
        <x:f>F213-E213</x:f>
        <x:v>0</x:v>
      </x:c>
      <x:c r="H213" s="2" t="n">
        <x:f>IFERROR(E213/F213,0)</x:f>
        <x:v>1</x:v>
      </x:c>
      <x:c r="I213" t="str">
        <x:v>Intermediário</x:v>
      </x:c>
      <x:c r="J213" t="str">
        <x:v>CAEd_DadosExportados (3).zip</x:v>
      </x:c>
    </x:row>
    <x:row r="214">
      <x:c r="A214" t="str">
        <x:v>1A013</x:v>
      </x:c>
      <x:c r="B214" t="str">
        <x:v>1º ano</x:v>
      </x:c>
      <x:c r="C214" t="str">
        <x:v>contraprova</x:v>
      </x:c>
      <x:c r="D214" t="str">
        <x:v>H09</x:v>
      </x:c>
      <x:c r="E214" t="n">
        <x:v>2</x:v>
      </x:c>
      <x:c r="F214" t="n">
        <x:v>2</x:v>
      </x:c>
      <x:c r="G214" t="n">
        <x:f>F214-E214</x:f>
        <x:v>0</x:v>
      </x:c>
      <x:c r="H214" s="2" t="n">
        <x:f>IFERROR(E214/F214,0)</x:f>
        <x:v>1</x:v>
      </x:c>
      <x:c r="I214" t="str">
        <x:v>Intermediário</x:v>
      </x:c>
      <x:c r="J214" t="str">
        <x:v>CAEd_DadosExportados (3).zip</x:v>
      </x:c>
    </x:row>
    <x:row r="215">
      <x:c r="A215" t="str">
        <x:v>1A013</x:v>
      </x:c>
      <x:c r="B215" t="str">
        <x:v>1º ano</x:v>
      </x:c>
      <x:c r="C215" t="str">
        <x:v>referencia</x:v>
      </x:c>
      <x:c r="D215" t="str">
        <x:v>H01</x:v>
      </x:c>
      <x:c r="E215" t="n">
        <x:v>2</x:v>
      </x:c>
      <x:c r="F215" t="n">
        <x:v>3</x:v>
      </x:c>
      <x:c r="G215" t="n">
        <x:f>F215-E215</x:f>
        <x:v>1</x:v>
      </x:c>
      <x:c r="H215" s="2" t="n">
        <x:f>IFERROR(E215/F215,0)</x:f>
        <x:v>0.6666666666666666</x:v>
      </x:c>
      <x:c r="I215" t="str">
        <x:v>Intermediário</x:v>
      </x:c>
      <x:c r="J215" t="str">
        <x:v>CAEd_DadosExportados.zip</x:v>
      </x:c>
    </x:row>
    <x:row r="216">
      <x:c r="A216" t="str">
        <x:v>1A013</x:v>
      </x:c>
      <x:c r="B216" t="str">
        <x:v>1º ano</x:v>
      </x:c>
      <x:c r="C216" t="str">
        <x:v>referencia</x:v>
      </x:c>
      <x:c r="D216" t="str">
        <x:v>H02</x:v>
      </x:c>
      <x:c r="E216" t="n">
        <x:v>2</x:v>
      </x:c>
      <x:c r="F216" t="n">
        <x:v>3</x:v>
      </x:c>
      <x:c r="G216" t="n">
        <x:f>F216-E216</x:f>
        <x:v>1</x:v>
      </x:c>
      <x:c r="H216" s="2" t="n">
        <x:f>IFERROR(E216/F216,0)</x:f>
        <x:v>0.6666666666666666</x:v>
      </x:c>
      <x:c r="I216" t="str">
        <x:v>Intermediário</x:v>
      </x:c>
      <x:c r="J216" t="str">
        <x:v>CAEd_DadosExportados.zip</x:v>
      </x:c>
    </x:row>
    <x:row r="217">
      <x:c r="A217" t="str">
        <x:v>1A013</x:v>
      </x:c>
      <x:c r="B217" t="str">
        <x:v>1º ano</x:v>
      </x:c>
      <x:c r="C217" t="str">
        <x:v>referencia</x:v>
      </x:c>
      <x:c r="D217" t="str">
        <x:v>H03</x:v>
      </x:c>
      <x:c r="E217" t="n">
        <x:v>3</x:v>
      </x:c>
      <x:c r="F217" t="n">
        <x:v>3</x:v>
      </x:c>
      <x:c r="G217" t="n">
        <x:f>F217-E217</x:f>
        <x:v>0</x:v>
      </x:c>
      <x:c r="H217" s="2" t="n">
        <x:f>IFERROR(E217/F217,0)</x:f>
        <x:v>1</x:v>
      </x:c>
      <x:c r="I217" t="str">
        <x:v>Intermediário</x:v>
      </x:c>
      <x:c r="J217" t="str">
        <x:v>CAEd_DadosExportados.zip</x:v>
      </x:c>
    </x:row>
    <x:row r="218">
      <x:c r="A218" t="str">
        <x:v>1A013</x:v>
      </x:c>
      <x:c r="B218" t="str">
        <x:v>1º ano</x:v>
      </x:c>
      <x:c r="C218" t="str">
        <x:v>referencia</x:v>
      </x:c>
      <x:c r="D218" t="str">
        <x:v>H04</x:v>
      </x:c>
      <x:c r="E218" t="n">
        <x:v>1</x:v>
      </x:c>
      <x:c r="F218" t="n">
        <x:v>3</x:v>
      </x:c>
      <x:c r="G218" t="n">
        <x:f>F218-E218</x:f>
        <x:v>2</x:v>
      </x:c>
      <x:c r="H218" s="2" t="n">
        <x:f>IFERROR(E218/F218,0)</x:f>
        <x:v>0.3333333333333333</x:v>
      </x:c>
      <x:c r="I218" t="str">
        <x:v>Intermediário</x:v>
      </x:c>
      <x:c r="J218" t="str">
        <x:v>CAEd_DadosExportados.zip</x:v>
      </x:c>
    </x:row>
    <x:row r="219">
      <x:c r="A219" t="str">
        <x:v>1A013</x:v>
      </x:c>
      <x:c r="B219" t="str">
        <x:v>1º ano</x:v>
      </x:c>
      <x:c r="C219" t="str">
        <x:v>referencia</x:v>
      </x:c>
      <x:c r="D219" t="str">
        <x:v>H05</x:v>
      </x:c>
      <x:c r="E219" t="n">
        <x:v>3</x:v>
      </x:c>
      <x:c r="F219" t="n">
        <x:v>3</x:v>
      </x:c>
      <x:c r="G219" t="n">
        <x:f>F219-E219</x:f>
        <x:v>0</x:v>
      </x:c>
      <x:c r="H219" s="2" t="n">
        <x:f>IFERROR(E219/F219,0)</x:f>
        <x:v>1</x:v>
      </x:c>
      <x:c r="I219" t="str">
        <x:v>Intermediário</x:v>
      </x:c>
      <x:c r="J219" t="str">
        <x:v>CAEd_DadosExportados.zip</x:v>
      </x:c>
    </x:row>
    <x:row r="220">
      <x:c r="A220" t="str">
        <x:v>1A013</x:v>
      </x:c>
      <x:c r="B220" t="str">
        <x:v>1º ano</x:v>
      </x:c>
      <x:c r="C220" t="str">
        <x:v>referencia</x:v>
      </x:c>
      <x:c r="D220" t="str">
        <x:v>H06</x:v>
      </x:c>
      <x:c r="E220" t="n">
        <x:v>2</x:v>
      </x:c>
      <x:c r="F220" t="n">
        <x:v>3</x:v>
      </x:c>
      <x:c r="G220" t="n">
        <x:f>F220-E220</x:f>
        <x:v>1</x:v>
      </x:c>
      <x:c r="H220" s="2" t="n">
        <x:f>IFERROR(E220/F220,0)</x:f>
        <x:v>0.6666666666666666</x:v>
      </x:c>
      <x:c r="I220" t="str">
        <x:v>Intermediário</x:v>
      </x:c>
      <x:c r="J220" t="str">
        <x:v>CAEd_DadosExportados.zip</x:v>
      </x:c>
    </x:row>
    <x:row r="221">
      <x:c r="A221" t="str">
        <x:v>1A013</x:v>
      </x:c>
      <x:c r="B221" t="str">
        <x:v>1º ano</x:v>
      </x:c>
      <x:c r="C221" t="str">
        <x:v>referencia</x:v>
      </x:c>
      <x:c r="D221" t="str">
        <x:v>H07</x:v>
      </x:c>
      <x:c r="E221" t="n">
        <x:v>0</x:v>
      </x:c>
      <x:c r="F221" t="n">
        <x:v>2</x:v>
      </x:c>
      <x:c r="G221" t="n">
        <x:f>F221-E221</x:f>
        <x:v>2</x:v>
      </x:c>
      <x:c r="H221" s="2" t="n">
        <x:f>IFERROR(E221/F221,0)</x:f>
        <x:v>0</x:v>
      </x:c>
      <x:c r="I221" t="str">
        <x:v>Intermediário</x:v>
      </x:c>
      <x:c r="J221" t="str">
        <x:v>CAEd_DadosExportados.zip</x:v>
      </x:c>
    </x:row>
    <x:row r="222">
      <x:c r="A222" t="str">
        <x:v>1A013</x:v>
      </x:c>
      <x:c r="B222" t="str">
        <x:v>1º ano</x:v>
      </x:c>
      <x:c r="C222" t="str">
        <x:v>referencia</x:v>
      </x:c>
      <x:c r="D222" t="str">
        <x:v>H08</x:v>
      </x:c>
      <x:c r="E222" t="n">
        <x:v>1</x:v>
      </x:c>
      <x:c r="F222" t="n">
        <x:v>2</x:v>
      </x:c>
      <x:c r="G222" t="n">
        <x:f>F222-E222</x:f>
        <x:v>1</x:v>
      </x:c>
      <x:c r="H222" s="2" t="n">
        <x:f>IFERROR(E222/F222,0)</x:f>
        <x:v>0.5</x:v>
      </x:c>
      <x:c r="I222" t="str">
        <x:v>Intermediário</x:v>
      </x:c>
      <x:c r="J222" t="str">
        <x:v>CAEd_DadosExportados.zip</x:v>
      </x:c>
    </x:row>
    <x:row r="223">
      <x:c r="A223" t="str">
        <x:v>1A014</x:v>
      </x:c>
      <x:c r="B223" t="str">
        <x:v>1º ano</x:v>
      </x:c>
      <x:c r="C223" t="str">
        <x:v>contraprova</x:v>
      </x:c>
      <x:c r="D223" t="str">
        <x:v>H01</x:v>
      </x:c>
      <x:c r="E223" t="n">
        <x:v>2</x:v>
      </x:c>
      <x:c r="F223" t="n">
        <x:v>2</x:v>
      </x:c>
      <x:c r="G223" t="n">
        <x:f>F223-E223</x:f>
        <x:v>0</x:v>
      </x:c>
      <x:c r="H223" s="2" t="n">
        <x:f>IFERROR(E223/F223,0)</x:f>
        <x:v>1</x:v>
      </x:c>
      <x:c r="I223" t="str">
        <x:v>Adequado</x:v>
      </x:c>
      <x:c r="J223" t="str">
        <x:v>CAEd_DadosExportados (3).zip</x:v>
      </x:c>
    </x:row>
    <x:row r="224">
      <x:c r="A224" t="str">
        <x:v>1A014</x:v>
      </x:c>
      <x:c r="B224" t="str">
        <x:v>1º ano</x:v>
      </x:c>
      <x:c r="C224" t="str">
        <x:v>contraprova</x:v>
      </x:c>
      <x:c r="D224" t="str">
        <x:v>H02</x:v>
      </x:c>
      <x:c r="E224" t="n">
        <x:v>2</x:v>
      </x:c>
      <x:c r="F224" t="n">
        <x:v>2</x:v>
      </x:c>
      <x:c r="G224" t="n">
        <x:f>F224-E224</x:f>
        <x:v>0</x:v>
      </x:c>
      <x:c r="H224" s="2" t="n">
        <x:f>IFERROR(E224/F224,0)</x:f>
        <x:v>1</x:v>
      </x:c>
      <x:c r="I224" t="str">
        <x:v>Adequado</x:v>
      </x:c>
      <x:c r="J224" t="str">
        <x:v>CAEd_DadosExportados (3).zip</x:v>
      </x:c>
    </x:row>
    <x:row r="225">
      <x:c r="A225" t="str">
        <x:v>1A014</x:v>
      </x:c>
      <x:c r="B225" t="str">
        <x:v>1º ano</x:v>
      </x:c>
      <x:c r="C225" t="str">
        <x:v>contraprova</x:v>
      </x:c>
      <x:c r="D225" t="str">
        <x:v>H03</x:v>
      </x:c>
      <x:c r="E225" t="n">
        <x:v>3</x:v>
      </x:c>
      <x:c r="F225" t="n">
        <x:v>3</x:v>
      </x:c>
      <x:c r="G225" t="n">
        <x:f>F225-E225</x:f>
        <x:v>0</x:v>
      </x:c>
      <x:c r="H225" s="2" t="n">
        <x:f>IFERROR(E225/F225,0)</x:f>
        <x:v>1</x:v>
      </x:c>
      <x:c r="I225" t="str">
        <x:v>Adequado</x:v>
      </x:c>
      <x:c r="J225" t="str">
        <x:v>CAEd_DadosExportados (3).zip</x:v>
      </x:c>
    </x:row>
    <x:row r="226">
      <x:c r="A226" t="str">
        <x:v>1A014</x:v>
      </x:c>
      <x:c r="B226" t="str">
        <x:v>1º ano</x:v>
      </x:c>
      <x:c r="C226" t="str">
        <x:v>contraprova</x:v>
      </x:c>
      <x:c r="D226" t="str">
        <x:v>H04</x:v>
      </x:c>
      <x:c r="E226" t="n">
        <x:v>3</x:v>
      </x:c>
      <x:c r="F226" t="n">
        <x:v>3</x:v>
      </x:c>
      <x:c r="G226" t="n">
        <x:f>F226-E226</x:f>
        <x:v>0</x:v>
      </x:c>
      <x:c r="H226" s="2" t="n">
        <x:f>IFERROR(E226/F226,0)</x:f>
        <x:v>1</x:v>
      </x:c>
      <x:c r="I226" t="str">
        <x:v>Adequado</x:v>
      </x:c>
      <x:c r="J226" t="str">
        <x:v>CAEd_DadosExportados (3).zip</x:v>
      </x:c>
    </x:row>
    <x:row r="227">
      <x:c r="A227" t="str">
        <x:v>1A014</x:v>
      </x:c>
      <x:c r="B227" t="str">
        <x:v>1º ano</x:v>
      </x:c>
      <x:c r="C227" t="str">
        <x:v>contraprova</x:v>
      </x:c>
      <x:c r="D227" t="str">
        <x:v>H05</x:v>
      </x:c>
      <x:c r="E227" t="n">
        <x:v>2</x:v>
      </x:c>
      <x:c r="F227" t="n">
        <x:v>3</x:v>
      </x:c>
      <x:c r="G227" t="n">
        <x:f>F227-E227</x:f>
        <x:v>1</x:v>
      </x:c>
      <x:c r="H227" s="2" t="n">
        <x:f>IFERROR(E227/F227,0)</x:f>
        <x:v>0.6666666666666666</x:v>
      </x:c>
      <x:c r="I227" t="str">
        <x:v>Adequado</x:v>
      </x:c>
      <x:c r="J227" t="str">
        <x:v>CAEd_DadosExportados (3).zip</x:v>
      </x:c>
    </x:row>
    <x:row r="228">
      <x:c r="A228" t="str">
        <x:v>1A014</x:v>
      </x:c>
      <x:c r="B228" t="str">
        <x:v>1º ano</x:v>
      </x:c>
      <x:c r="C228" t="str">
        <x:v>contraprova</x:v>
      </x:c>
      <x:c r="D228" t="str">
        <x:v>H06</x:v>
      </x:c>
      <x:c r="E228" t="n">
        <x:v>3</x:v>
      </x:c>
      <x:c r="F228" t="n">
        <x:v>3</x:v>
      </x:c>
      <x:c r="G228" t="n">
        <x:f>F228-E228</x:f>
        <x:v>0</x:v>
      </x:c>
      <x:c r="H228" s="2" t="n">
        <x:f>IFERROR(E228/F228,0)</x:f>
        <x:v>1</x:v>
      </x:c>
      <x:c r="I228" t="str">
        <x:v>Adequado</x:v>
      </x:c>
      <x:c r="J228" t="str">
        <x:v>CAEd_DadosExportados (3).zip</x:v>
      </x:c>
    </x:row>
    <x:row r="229">
      <x:c r="A229" t="str">
        <x:v>1A014</x:v>
      </x:c>
      <x:c r="B229" t="str">
        <x:v>1º ano</x:v>
      </x:c>
      <x:c r="C229" t="str">
        <x:v>contraprova</x:v>
      </x:c>
      <x:c r="D229" t="str">
        <x:v>H07</x:v>
      </x:c>
      <x:c r="E229" t="n">
        <x:v>2</x:v>
      </x:c>
      <x:c r="F229" t="n">
        <x:v>2</x:v>
      </x:c>
      <x:c r="G229" t="n">
        <x:f>F229-E229</x:f>
        <x:v>0</x:v>
      </x:c>
      <x:c r="H229" s="2" t="n">
        <x:f>IFERROR(E229/F229,0)</x:f>
        <x:v>1</x:v>
      </x:c>
      <x:c r="I229" t="str">
        <x:v>Adequado</x:v>
      </x:c>
      <x:c r="J229" t="str">
        <x:v>CAEd_DadosExportados (3).zip</x:v>
      </x:c>
    </x:row>
    <x:row r="230">
      <x:c r="A230" t="str">
        <x:v>1A014</x:v>
      </x:c>
      <x:c r="B230" t="str">
        <x:v>1º ano</x:v>
      </x:c>
      <x:c r="C230" t="str">
        <x:v>contraprova</x:v>
      </x:c>
      <x:c r="D230" t="str">
        <x:v>H08</x:v>
      </x:c>
      <x:c r="E230" t="n">
        <x:v>2</x:v>
      </x:c>
      <x:c r="F230" t="n">
        <x:v>2</x:v>
      </x:c>
      <x:c r="G230" t="n">
        <x:f>F230-E230</x:f>
        <x:v>0</x:v>
      </x:c>
      <x:c r="H230" s="2" t="n">
        <x:f>IFERROR(E230/F230,0)</x:f>
        <x:v>1</x:v>
      </x:c>
      <x:c r="I230" t="str">
        <x:v>Adequado</x:v>
      </x:c>
      <x:c r="J230" t="str">
        <x:v>CAEd_DadosExportados (3).zip</x:v>
      </x:c>
    </x:row>
    <x:row r="231">
      <x:c r="A231" t="str">
        <x:v>1A014</x:v>
      </x:c>
      <x:c r="B231" t="str">
        <x:v>1º ano</x:v>
      </x:c>
      <x:c r="C231" t="str">
        <x:v>contraprova</x:v>
      </x:c>
      <x:c r="D231" t="str">
        <x:v>H09</x:v>
      </x:c>
      <x:c r="E231" t="n">
        <x:v>2</x:v>
      </x:c>
      <x:c r="F231" t="n">
        <x:v>2</x:v>
      </x:c>
      <x:c r="G231" t="n">
        <x:f>F231-E231</x:f>
        <x:v>0</x:v>
      </x:c>
      <x:c r="H231" s="2" t="n">
        <x:f>IFERROR(E231/F231,0)</x:f>
        <x:v>1</x:v>
      </x:c>
      <x:c r="I231" t="str">
        <x:v>Adequado</x:v>
      </x:c>
      <x:c r="J231" t="str">
        <x:v>CAEd_DadosExportados (3).zip</x:v>
      </x:c>
    </x:row>
    <x:row r="232">
      <x:c r="A232" t="str">
        <x:v>1A014</x:v>
      </x:c>
      <x:c r="B232" t="str">
        <x:v>1º ano</x:v>
      </x:c>
      <x:c r="C232" t="str">
        <x:v>referencia</x:v>
      </x:c>
      <x:c r="D232" t="str">
        <x:v>H01</x:v>
      </x:c>
      <x:c r="E232" t="n">
        <x:v>0</x:v>
      </x:c>
      <x:c r="F232" t="n">
        <x:v>3</x:v>
      </x:c>
      <x:c r="G232" t="n">
        <x:f>F232-E232</x:f>
        <x:v>3</x:v>
      </x:c>
      <x:c r="H232" s="2" t="n">
        <x:f>IFERROR(E232/F232,0)</x:f>
        <x:v>0</x:v>
      </x:c>
      <x:c r="I232" t="str">
        <x:v>Intermediário</x:v>
      </x:c>
      <x:c r="J232" t="str">
        <x:v>CAEd_DadosExportados.zip</x:v>
      </x:c>
    </x:row>
    <x:row r="233">
      <x:c r="A233" t="str">
        <x:v>1A014</x:v>
      </x:c>
      <x:c r="B233" t="str">
        <x:v>1º ano</x:v>
      </x:c>
      <x:c r="C233" t="str">
        <x:v>referencia</x:v>
      </x:c>
      <x:c r="D233" t="str">
        <x:v>H02</x:v>
      </x:c>
      <x:c r="E233" t="n">
        <x:v>2</x:v>
      </x:c>
      <x:c r="F233" t="n">
        <x:v>3</x:v>
      </x:c>
      <x:c r="G233" t="n">
        <x:f>F233-E233</x:f>
        <x:v>1</x:v>
      </x:c>
      <x:c r="H233" s="2" t="n">
        <x:f>IFERROR(E233/F233,0)</x:f>
        <x:v>0.6666666666666666</x:v>
      </x:c>
      <x:c r="I233" t="str">
        <x:v>Intermediário</x:v>
      </x:c>
      <x:c r="J233" t="str">
        <x:v>CAEd_DadosExportados.zip</x:v>
      </x:c>
    </x:row>
    <x:row r="234">
      <x:c r="A234" t="str">
        <x:v>1A014</x:v>
      </x:c>
      <x:c r="B234" t="str">
        <x:v>1º ano</x:v>
      </x:c>
      <x:c r="C234" t="str">
        <x:v>referencia</x:v>
      </x:c>
      <x:c r="D234" t="str">
        <x:v>H03</x:v>
      </x:c>
      <x:c r="E234" t="n">
        <x:v>1</x:v>
      </x:c>
      <x:c r="F234" t="n">
        <x:v>3</x:v>
      </x:c>
      <x:c r="G234" t="n">
        <x:f>F234-E234</x:f>
        <x:v>2</x:v>
      </x:c>
      <x:c r="H234" s="2" t="n">
        <x:f>IFERROR(E234/F234,0)</x:f>
        <x:v>0.3333333333333333</x:v>
      </x:c>
      <x:c r="I234" t="str">
        <x:v>Intermediário</x:v>
      </x:c>
      <x:c r="J234" t="str">
        <x:v>CAEd_DadosExportados.zip</x:v>
      </x:c>
    </x:row>
    <x:row r="235">
      <x:c r="A235" t="str">
        <x:v>1A014</x:v>
      </x:c>
      <x:c r="B235" t="str">
        <x:v>1º ano</x:v>
      </x:c>
      <x:c r="C235" t="str">
        <x:v>referencia</x:v>
      </x:c>
      <x:c r="D235" t="str">
        <x:v>H04</x:v>
      </x:c>
      <x:c r="E235" t="n">
        <x:v>1</x:v>
      </x:c>
      <x:c r="F235" t="n">
        <x:v>3</x:v>
      </x:c>
      <x:c r="G235" t="n">
        <x:f>F235-E235</x:f>
        <x:v>2</x:v>
      </x:c>
      <x:c r="H235" s="2" t="n">
        <x:f>IFERROR(E235/F235,0)</x:f>
        <x:v>0.3333333333333333</x:v>
      </x:c>
      <x:c r="I235" t="str">
        <x:v>Intermediário</x:v>
      </x:c>
      <x:c r="J235" t="str">
        <x:v>CAEd_DadosExportados.zip</x:v>
      </x:c>
    </x:row>
    <x:row r="236">
      <x:c r="A236" t="str">
        <x:v>1A014</x:v>
      </x:c>
      <x:c r="B236" t="str">
        <x:v>1º ano</x:v>
      </x:c>
      <x:c r="C236" t="str">
        <x:v>referencia</x:v>
      </x:c>
      <x:c r="D236" t="str">
        <x:v>H05</x:v>
      </x:c>
      <x:c r="E236" t="n">
        <x:v>3</x:v>
      </x:c>
      <x:c r="F236" t="n">
        <x:v>3</x:v>
      </x:c>
      <x:c r="G236" t="n">
        <x:f>F236-E236</x:f>
        <x:v>0</x:v>
      </x:c>
      <x:c r="H236" s="2" t="n">
        <x:f>IFERROR(E236/F236,0)</x:f>
        <x:v>1</x:v>
      </x:c>
      <x:c r="I236" t="str">
        <x:v>Intermediário</x:v>
      </x:c>
      <x:c r="J236" t="str">
        <x:v>CAEd_DadosExportados.zip</x:v>
      </x:c>
    </x:row>
    <x:row r="237">
      <x:c r="A237" t="str">
        <x:v>1A014</x:v>
      </x:c>
      <x:c r="B237" t="str">
        <x:v>1º ano</x:v>
      </x:c>
      <x:c r="C237" t="str">
        <x:v>referencia</x:v>
      </x:c>
      <x:c r="D237" t="str">
        <x:v>H06</x:v>
      </x:c>
      <x:c r="E237" t="n">
        <x:v>3</x:v>
      </x:c>
      <x:c r="F237" t="n">
        <x:v>3</x:v>
      </x:c>
      <x:c r="G237" t="n">
        <x:f>F237-E237</x:f>
        <x:v>0</x:v>
      </x:c>
      <x:c r="H237" s="2" t="n">
        <x:f>IFERROR(E237/F237,0)</x:f>
        <x:v>1</x:v>
      </x:c>
      <x:c r="I237" t="str">
        <x:v>Intermediário</x:v>
      </x:c>
      <x:c r="J237" t="str">
        <x:v>CAEd_DadosExportados.zip</x:v>
      </x:c>
    </x:row>
    <x:row r="238">
      <x:c r="A238" t="str">
        <x:v>1A014</x:v>
      </x:c>
      <x:c r="B238" t="str">
        <x:v>1º ano</x:v>
      </x:c>
      <x:c r="C238" t="str">
        <x:v>referencia</x:v>
      </x:c>
      <x:c r="D238" t="str">
        <x:v>H07</x:v>
      </x:c>
      <x:c r="E238" t="n">
        <x:v>1</x:v>
      </x:c>
      <x:c r="F238" t="n">
        <x:v>2</x:v>
      </x:c>
      <x:c r="G238" t="n">
        <x:f>F238-E238</x:f>
        <x:v>1</x:v>
      </x:c>
      <x:c r="H238" s="2" t="n">
        <x:f>IFERROR(E238/F238,0)</x:f>
        <x:v>0.5</x:v>
      </x:c>
      <x:c r="I238" t="str">
        <x:v>Intermediário</x:v>
      </x:c>
      <x:c r="J238" t="str">
        <x:v>CAEd_DadosExportados.zip</x:v>
      </x:c>
    </x:row>
    <x:row r="239">
      <x:c r="A239" t="str">
        <x:v>1A014</x:v>
      </x:c>
      <x:c r="B239" t="str">
        <x:v>1º ano</x:v>
      </x:c>
      <x:c r="C239" t="str">
        <x:v>referencia</x:v>
      </x:c>
      <x:c r="D239" t="str">
        <x:v>H08</x:v>
      </x:c>
      <x:c r="E239" t="n">
        <x:v>2</x:v>
      </x:c>
      <x:c r="F239" t="n">
        <x:v>2</x:v>
      </x:c>
      <x:c r="G239" t="n">
        <x:f>F239-E239</x:f>
        <x:v>0</x:v>
      </x:c>
      <x:c r="H239" s="2" t="n">
        <x:f>IFERROR(E239/F239,0)</x:f>
        <x:v>1</x:v>
      </x:c>
      <x:c r="I239" t="str">
        <x:v>Intermediário</x:v>
      </x:c>
      <x:c r="J239" t="str">
        <x:v>CAEd_DadosExportados.zip</x:v>
      </x:c>
    </x:row>
    <x:row r="240">
      <x:c r="A240" t="str">
        <x:v>1A015</x:v>
      </x:c>
      <x:c r="B240" t="str">
        <x:v>1º ano</x:v>
      </x:c>
      <x:c r="C240" t="str">
        <x:v>contraprova</x:v>
      </x:c>
      <x:c r="D240" t="str">
        <x:v>H01</x:v>
      </x:c>
      <x:c r="E240" t="n">
        <x:v>1</x:v>
      </x:c>
      <x:c r="F240" t="n">
        <x:v>2</x:v>
      </x:c>
      <x:c r="G240" t="n">
        <x:f>F240-E240</x:f>
        <x:v>1</x:v>
      </x:c>
      <x:c r="H240" s="2" t="n">
        <x:f>IFERROR(E240/F240,0)</x:f>
        <x:v>0.5</x:v>
      </x:c>
      <x:c r="I240" t="str">
        <x:v>Intermediário</x:v>
      </x:c>
      <x:c r="J240" t="str">
        <x:v>CAEd_DadosExportados (3).zip</x:v>
      </x:c>
    </x:row>
    <x:row r="241">
      <x:c r="A241" t="str">
        <x:v>1A015</x:v>
      </x:c>
      <x:c r="B241" t="str">
        <x:v>1º ano</x:v>
      </x:c>
      <x:c r="C241" t="str">
        <x:v>contraprova</x:v>
      </x:c>
      <x:c r="D241" t="str">
        <x:v>H02</x:v>
      </x:c>
      <x:c r="E241" t="n">
        <x:v>1</x:v>
      </x:c>
      <x:c r="F241" t="n">
        <x:v>2</x:v>
      </x:c>
      <x:c r="G241" t="n">
        <x:f>F241-E241</x:f>
        <x:v>1</x:v>
      </x:c>
      <x:c r="H241" s="2" t="n">
        <x:f>IFERROR(E241/F241,0)</x:f>
        <x:v>0.5</x:v>
      </x:c>
      <x:c r="I241" t="str">
        <x:v>Intermediário</x:v>
      </x:c>
      <x:c r="J241" t="str">
        <x:v>CAEd_DadosExportados (3).zip</x:v>
      </x:c>
    </x:row>
    <x:row r="242">
      <x:c r="A242" t="str">
        <x:v>1A015</x:v>
      </x:c>
      <x:c r="B242" t="str">
        <x:v>1º ano</x:v>
      </x:c>
      <x:c r="C242" t="str">
        <x:v>contraprova</x:v>
      </x:c>
      <x:c r="D242" t="str">
        <x:v>H03</x:v>
      </x:c>
      <x:c r="E242" t="n">
        <x:v>2</x:v>
      </x:c>
      <x:c r="F242" t="n">
        <x:v>3</x:v>
      </x:c>
      <x:c r="G242" t="n">
        <x:f>F242-E242</x:f>
        <x:v>1</x:v>
      </x:c>
      <x:c r="H242" s="2" t="n">
        <x:f>IFERROR(E242/F242,0)</x:f>
        <x:v>0.6666666666666666</x:v>
      </x:c>
      <x:c r="I242" t="str">
        <x:v>Intermediário</x:v>
      </x:c>
      <x:c r="J242" t="str">
        <x:v>CAEd_DadosExportados (3).zip</x:v>
      </x:c>
    </x:row>
    <x:row r="243">
      <x:c r="A243" t="str">
        <x:v>1A015</x:v>
      </x:c>
      <x:c r="B243" t="str">
        <x:v>1º ano</x:v>
      </x:c>
      <x:c r="C243" t="str">
        <x:v>contraprova</x:v>
      </x:c>
      <x:c r="D243" t="str">
        <x:v>H04</x:v>
      </x:c>
      <x:c r="E243" t="n">
        <x:v>1</x:v>
      </x:c>
      <x:c r="F243" t="n">
        <x:v>3</x:v>
      </x:c>
      <x:c r="G243" t="n">
        <x:f>F243-E243</x:f>
        <x:v>2</x:v>
      </x:c>
      <x:c r="H243" s="2" t="n">
        <x:f>IFERROR(E243/F243,0)</x:f>
        <x:v>0.3333333333333333</x:v>
      </x:c>
      <x:c r="I243" t="str">
        <x:v>Intermediário</x:v>
      </x:c>
      <x:c r="J243" t="str">
        <x:v>CAEd_DadosExportados (3).zip</x:v>
      </x:c>
    </x:row>
    <x:row r="244">
      <x:c r="A244" t="str">
        <x:v>1A015</x:v>
      </x:c>
      <x:c r="B244" t="str">
        <x:v>1º ano</x:v>
      </x:c>
      <x:c r="C244" t="str">
        <x:v>contraprova</x:v>
      </x:c>
      <x:c r="D244" t="str">
        <x:v>H05</x:v>
      </x:c>
      <x:c r="E244" t="n">
        <x:v>2</x:v>
      </x:c>
      <x:c r="F244" t="n">
        <x:v>3</x:v>
      </x:c>
      <x:c r="G244" t="n">
        <x:f>F244-E244</x:f>
        <x:v>1</x:v>
      </x:c>
      <x:c r="H244" s="2" t="n">
        <x:f>IFERROR(E244/F244,0)</x:f>
        <x:v>0.6666666666666666</x:v>
      </x:c>
      <x:c r="I244" t="str">
        <x:v>Intermediário</x:v>
      </x:c>
      <x:c r="J244" t="str">
        <x:v>CAEd_DadosExportados (3).zip</x:v>
      </x:c>
    </x:row>
    <x:row r="245">
      <x:c r="A245" t="str">
        <x:v>1A015</x:v>
      </x:c>
      <x:c r="B245" t="str">
        <x:v>1º ano</x:v>
      </x:c>
      <x:c r="C245" t="str">
        <x:v>contraprova</x:v>
      </x:c>
      <x:c r="D245" t="str">
        <x:v>H06</x:v>
      </x:c>
      <x:c r="E245" t="n">
        <x:v>3</x:v>
      </x:c>
      <x:c r="F245" t="n">
        <x:v>3</x:v>
      </x:c>
      <x:c r="G245" t="n">
        <x:f>F245-E245</x:f>
        <x:v>0</x:v>
      </x:c>
      <x:c r="H245" s="2" t="n">
        <x:f>IFERROR(E245/F245,0)</x:f>
        <x:v>1</x:v>
      </x:c>
      <x:c r="I245" t="str">
        <x:v>Intermediário</x:v>
      </x:c>
      <x:c r="J245" t="str">
        <x:v>CAEd_DadosExportados (3).zip</x:v>
      </x:c>
    </x:row>
    <x:row r="246">
      <x:c r="A246" t="str">
        <x:v>1A015</x:v>
      </x:c>
      <x:c r="B246" t="str">
        <x:v>1º ano</x:v>
      </x:c>
      <x:c r="C246" t="str">
        <x:v>contraprova</x:v>
      </x:c>
      <x:c r="D246" t="str">
        <x:v>H07</x:v>
      </x:c>
      <x:c r="E246" t="n">
        <x:v>0</x:v>
      </x:c>
      <x:c r="F246" t="n">
        <x:v>2</x:v>
      </x:c>
      <x:c r="G246" t="n">
        <x:f>F246-E246</x:f>
        <x:v>2</x:v>
      </x:c>
      <x:c r="H246" s="2" t="n">
        <x:f>IFERROR(E246/F246,0)</x:f>
        <x:v>0</x:v>
      </x:c>
      <x:c r="I246" t="str">
        <x:v>Intermediário</x:v>
      </x:c>
      <x:c r="J246" t="str">
        <x:v>CAEd_DadosExportados (3).zip</x:v>
      </x:c>
    </x:row>
    <x:row r="247">
      <x:c r="A247" t="str">
        <x:v>1A015</x:v>
      </x:c>
      <x:c r="B247" t="str">
        <x:v>1º ano</x:v>
      </x:c>
      <x:c r="C247" t="str">
        <x:v>contraprova</x:v>
      </x:c>
      <x:c r="D247" t="str">
        <x:v>H08</x:v>
      </x:c>
      <x:c r="E247" t="n">
        <x:v>2</x:v>
      </x:c>
      <x:c r="F247" t="n">
        <x:v>2</x:v>
      </x:c>
      <x:c r="G247" t="n">
        <x:f>F247-E247</x:f>
        <x:v>0</x:v>
      </x:c>
      <x:c r="H247" s="2" t="n">
        <x:f>IFERROR(E247/F247,0)</x:f>
        <x:v>1</x:v>
      </x:c>
      <x:c r="I247" t="str">
        <x:v>Intermediário</x:v>
      </x:c>
      <x:c r="J247" t="str">
        <x:v>CAEd_DadosExportados (3).zip</x:v>
      </x:c>
    </x:row>
    <x:row r="248">
      <x:c r="A248" t="str">
        <x:v>1A015</x:v>
      </x:c>
      <x:c r="B248" t="str">
        <x:v>1º ano</x:v>
      </x:c>
      <x:c r="C248" t="str">
        <x:v>contraprova</x:v>
      </x:c>
      <x:c r="D248" t="str">
        <x:v>H09</x:v>
      </x:c>
      <x:c r="E248" t="n">
        <x:v>2</x:v>
      </x:c>
      <x:c r="F248" t="n">
        <x:v>2</x:v>
      </x:c>
      <x:c r="G248" t="n">
        <x:f>F248-E248</x:f>
        <x:v>0</x:v>
      </x:c>
      <x:c r="H248" s="2" t="n">
        <x:f>IFERROR(E248/F248,0)</x:f>
        <x:v>1</x:v>
      </x:c>
      <x:c r="I248" t="str">
        <x:v>Intermediário</x:v>
      </x:c>
      <x:c r="J248" t="str">
        <x:v>CAEd_DadosExportados (3).zip</x:v>
      </x:c>
    </x:row>
    <x:row r="249">
      <x:c r="A249" t="str">
        <x:v>1A015</x:v>
      </x:c>
      <x:c r="B249" t="str">
        <x:v>1º ano</x:v>
      </x:c>
      <x:c r="C249" t="str">
        <x:v>referencia</x:v>
      </x:c>
      <x:c r="D249" t="str">
        <x:v>H01</x:v>
      </x:c>
      <x:c r="E249" t="n">
        <x:v>1</x:v>
      </x:c>
      <x:c r="F249" t="n">
        <x:v>3</x:v>
      </x:c>
      <x:c r="G249" t="n">
        <x:f>F249-E249</x:f>
        <x:v>2</x:v>
      </x:c>
      <x:c r="H249" s="2" t="n">
        <x:f>IFERROR(E249/F249,0)</x:f>
        <x:v>0.3333333333333333</x:v>
      </x:c>
      <x:c r="I249" t="str">
        <x:v>Intermediário</x:v>
      </x:c>
      <x:c r="J249" t="str">
        <x:v>CAEd_DadosExportados.zip</x:v>
      </x:c>
    </x:row>
    <x:row r="250">
      <x:c r="A250" t="str">
        <x:v>1A015</x:v>
      </x:c>
      <x:c r="B250" t="str">
        <x:v>1º ano</x:v>
      </x:c>
      <x:c r="C250" t="str">
        <x:v>referencia</x:v>
      </x:c>
      <x:c r="D250" t="str">
        <x:v>H02</x:v>
      </x:c>
      <x:c r="E250" t="n">
        <x:v>3</x:v>
      </x:c>
      <x:c r="F250" t="n">
        <x:v>3</x:v>
      </x:c>
      <x:c r="G250" t="n">
        <x:f>F250-E250</x:f>
        <x:v>0</x:v>
      </x:c>
      <x:c r="H250" s="2" t="n">
        <x:f>IFERROR(E250/F250,0)</x:f>
        <x:v>1</x:v>
      </x:c>
      <x:c r="I250" t="str">
        <x:v>Intermediário</x:v>
      </x:c>
      <x:c r="J250" t="str">
        <x:v>CAEd_DadosExportados.zip</x:v>
      </x:c>
    </x:row>
    <x:row r="251">
      <x:c r="A251" t="str">
        <x:v>1A015</x:v>
      </x:c>
      <x:c r="B251" t="str">
        <x:v>1º ano</x:v>
      </x:c>
      <x:c r="C251" t="str">
        <x:v>referencia</x:v>
      </x:c>
      <x:c r="D251" t="str">
        <x:v>H03</x:v>
      </x:c>
      <x:c r="E251" t="n">
        <x:v>3</x:v>
      </x:c>
      <x:c r="F251" t="n">
        <x:v>3</x:v>
      </x:c>
      <x:c r="G251" t="n">
        <x:f>F251-E251</x:f>
        <x:v>0</x:v>
      </x:c>
      <x:c r="H251" s="2" t="n">
        <x:f>IFERROR(E251/F251,0)</x:f>
        <x:v>1</x:v>
      </x:c>
      <x:c r="I251" t="str">
        <x:v>Intermediário</x:v>
      </x:c>
      <x:c r="J251" t="str">
        <x:v>CAEd_DadosExportados.zip</x:v>
      </x:c>
    </x:row>
    <x:row r="252">
      <x:c r="A252" t="str">
        <x:v>1A015</x:v>
      </x:c>
      <x:c r="B252" t="str">
        <x:v>1º ano</x:v>
      </x:c>
      <x:c r="C252" t="str">
        <x:v>referencia</x:v>
      </x:c>
      <x:c r="D252" t="str">
        <x:v>H04</x:v>
      </x:c>
      <x:c r="E252" t="n">
        <x:v>0</x:v>
      </x:c>
      <x:c r="F252" t="n">
        <x:v>3</x:v>
      </x:c>
      <x:c r="G252" t="n">
        <x:f>F252-E252</x:f>
        <x:v>3</x:v>
      </x:c>
      <x:c r="H252" s="2" t="n">
        <x:f>IFERROR(E252/F252,0)</x:f>
        <x:v>0</x:v>
      </x:c>
      <x:c r="I252" t="str">
        <x:v>Intermediário</x:v>
      </x:c>
      <x:c r="J252" t="str">
        <x:v>CAEd_DadosExportados.zip</x:v>
      </x:c>
    </x:row>
    <x:row r="253">
      <x:c r="A253" t="str">
        <x:v>1A015</x:v>
      </x:c>
      <x:c r="B253" t="str">
        <x:v>1º ano</x:v>
      </x:c>
      <x:c r="C253" t="str">
        <x:v>referencia</x:v>
      </x:c>
      <x:c r="D253" t="str">
        <x:v>H05</x:v>
      </x:c>
      <x:c r="E253" t="n">
        <x:v>3</x:v>
      </x:c>
      <x:c r="F253" t="n">
        <x:v>3</x:v>
      </x:c>
      <x:c r="G253" t="n">
        <x:f>F253-E253</x:f>
        <x:v>0</x:v>
      </x:c>
      <x:c r="H253" s="2" t="n">
        <x:f>IFERROR(E253/F253,0)</x:f>
        <x:v>1</x:v>
      </x:c>
      <x:c r="I253" t="str">
        <x:v>Intermediário</x:v>
      </x:c>
      <x:c r="J253" t="str">
        <x:v>CAEd_DadosExportados.zip</x:v>
      </x:c>
    </x:row>
    <x:row r="254">
      <x:c r="A254" t="str">
        <x:v>1A015</x:v>
      </x:c>
      <x:c r="B254" t="str">
        <x:v>1º ano</x:v>
      </x:c>
      <x:c r="C254" t="str">
        <x:v>referencia</x:v>
      </x:c>
      <x:c r="D254" t="str">
        <x:v>H06</x:v>
      </x:c>
      <x:c r="E254" t="n">
        <x:v>1</x:v>
      </x:c>
      <x:c r="F254" t="n">
        <x:v>3</x:v>
      </x:c>
      <x:c r="G254" t="n">
        <x:f>F254-E254</x:f>
        <x:v>2</x:v>
      </x:c>
      <x:c r="H254" s="2" t="n">
        <x:f>IFERROR(E254/F254,0)</x:f>
        <x:v>0.3333333333333333</x:v>
      </x:c>
      <x:c r="I254" t="str">
        <x:v>Intermediário</x:v>
      </x:c>
      <x:c r="J254" t="str">
        <x:v>CAEd_DadosExportados.zip</x:v>
      </x:c>
    </x:row>
    <x:row r="255">
      <x:c r="A255" t="str">
        <x:v>1A015</x:v>
      </x:c>
      <x:c r="B255" t="str">
        <x:v>1º ano</x:v>
      </x:c>
      <x:c r="C255" t="str">
        <x:v>referencia</x:v>
      </x:c>
      <x:c r="D255" t="str">
        <x:v>H07</x:v>
      </x:c>
      <x:c r="E255" t="n">
        <x:v>1</x:v>
      </x:c>
      <x:c r="F255" t="n">
        <x:v>2</x:v>
      </x:c>
      <x:c r="G255" t="n">
        <x:f>F255-E255</x:f>
        <x:v>1</x:v>
      </x:c>
      <x:c r="H255" s="2" t="n">
        <x:f>IFERROR(E255/F255,0)</x:f>
        <x:v>0.5</x:v>
      </x:c>
      <x:c r="I255" t="str">
        <x:v>Intermediário</x:v>
      </x:c>
      <x:c r="J255" t="str">
        <x:v>CAEd_DadosExportados.zip</x:v>
      </x:c>
    </x:row>
    <x:row r="256">
      <x:c r="A256" t="str">
        <x:v>1A015</x:v>
      </x:c>
      <x:c r="B256" t="str">
        <x:v>1º ano</x:v>
      </x:c>
      <x:c r="C256" t="str">
        <x:v>referencia</x:v>
      </x:c>
      <x:c r="D256" t="str">
        <x:v>H08</x:v>
      </x:c>
      <x:c r="E256" t="n">
        <x:v>2</x:v>
      </x:c>
      <x:c r="F256" t="n">
        <x:v>2</x:v>
      </x:c>
      <x:c r="G256" t="n">
        <x:f>F256-E256</x:f>
        <x:v>0</x:v>
      </x:c>
      <x:c r="H256" s="2" t="n">
        <x:f>IFERROR(E256/F256,0)</x:f>
        <x:v>1</x:v>
      </x:c>
      <x:c r="I256" t="str">
        <x:v>Intermediário</x:v>
      </x:c>
      <x:c r="J256" t="str">
        <x:v>CAEd_DadosExportados.zip</x:v>
      </x:c>
    </x:row>
    <x:row r="257">
      <x:c r="A257" t="str">
        <x:v>1A016</x:v>
      </x:c>
      <x:c r="B257" t="str">
        <x:v>1º ano</x:v>
      </x:c>
      <x:c r="C257" t="str">
        <x:v>contraprova</x:v>
      </x:c>
      <x:c r="D257" t="str">
        <x:v>H01</x:v>
      </x:c>
      <x:c r="E257" t="n">
        <x:v>2</x:v>
      </x:c>
      <x:c r="F257" t="n">
        <x:v>2</x:v>
      </x:c>
      <x:c r="G257" t="n">
        <x:f>F257-E257</x:f>
        <x:v>0</x:v>
      </x:c>
      <x:c r="H257" s="2" t="n">
        <x:f>IFERROR(E257/F257,0)</x:f>
        <x:v>1</x:v>
      </x:c>
      <x:c r="I257" t="str">
        <x:v>Adequado</x:v>
      </x:c>
      <x:c r="J257" t="str">
        <x:v>CAEd_DadosExportados (3).zip</x:v>
      </x:c>
    </x:row>
    <x:row r="258">
      <x:c r="A258" t="str">
        <x:v>1A016</x:v>
      </x:c>
      <x:c r="B258" t="str">
        <x:v>1º ano</x:v>
      </x:c>
      <x:c r="C258" t="str">
        <x:v>contraprova</x:v>
      </x:c>
      <x:c r="D258" t="str">
        <x:v>H02</x:v>
      </x:c>
      <x:c r="E258" t="n">
        <x:v>2</x:v>
      </x:c>
      <x:c r="F258" t="n">
        <x:v>2</x:v>
      </x:c>
      <x:c r="G258" t="n">
        <x:f>F258-E258</x:f>
        <x:v>0</x:v>
      </x:c>
      <x:c r="H258" s="2" t="n">
        <x:f>IFERROR(E258/F258,0)</x:f>
        <x:v>1</x:v>
      </x:c>
      <x:c r="I258" t="str">
        <x:v>Adequado</x:v>
      </x:c>
      <x:c r="J258" t="str">
        <x:v>CAEd_DadosExportados (3).zip</x:v>
      </x:c>
    </x:row>
    <x:row r="259">
      <x:c r="A259" t="str">
        <x:v>1A016</x:v>
      </x:c>
      <x:c r="B259" t="str">
        <x:v>1º ano</x:v>
      </x:c>
      <x:c r="C259" t="str">
        <x:v>contraprova</x:v>
      </x:c>
      <x:c r="D259" t="str">
        <x:v>H03</x:v>
      </x:c>
      <x:c r="E259" t="n">
        <x:v>3</x:v>
      </x:c>
      <x:c r="F259" t="n">
        <x:v>3</x:v>
      </x:c>
      <x:c r="G259" t="n">
        <x:f>F259-E259</x:f>
        <x:v>0</x:v>
      </x:c>
      <x:c r="H259" s="2" t="n">
        <x:f>IFERROR(E259/F259,0)</x:f>
        <x:v>1</x:v>
      </x:c>
      <x:c r="I259" t="str">
        <x:v>Adequado</x:v>
      </x:c>
      <x:c r="J259" t="str">
        <x:v>CAEd_DadosExportados (3).zip</x:v>
      </x:c>
    </x:row>
    <x:row r="260">
      <x:c r="A260" t="str">
        <x:v>1A016</x:v>
      </x:c>
      <x:c r="B260" t="str">
        <x:v>1º ano</x:v>
      </x:c>
      <x:c r="C260" t="str">
        <x:v>contraprova</x:v>
      </x:c>
      <x:c r="D260" t="str">
        <x:v>H04</x:v>
      </x:c>
      <x:c r="E260" t="n">
        <x:v>3</x:v>
      </x:c>
      <x:c r="F260" t="n">
        <x:v>3</x:v>
      </x:c>
      <x:c r="G260" t="n">
        <x:f>F260-E260</x:f>
        <x:v>0</x:v>
      </x:c>
      <x:c r="H260" s="2" t="n">
        <x:f>IFERROR(E260/F260,0)</x:f>
        <x:v>1</x:v>
      </x:c>
      <x:c r="I260" t="str">
        <x:v>Adequado</x:v>
      </x:c>
      <x:c r="J260" t="str">
        <x:v>CAEd_DadosExportados (3).zip</x:v>
      </x:c>
    </x:row>
    <x:row r="261">
      <x:c r="A261" t="str">
        <x:v>1A016</x:v>
      </x:c>
      <x:c r="B261" t="str">
        <x:v>1º ano</x:v>
      </x:c>
      <x:c r="C261" t="str">
        <x:v>contraprova</x:v>
      </x:c>
      <x:c r="D261" t="str">
        <x:v>H05</x:v>
      </x:c>
      <x:c r="E261" t="n">
        <x:v>3</x:v>
      </x:c>
      <x:c r="F261" t="n">
        <x:v>3</x:v>
      </x:c>
      <x:c r="G261" t="n">
        <x:f>F261-E261</x:f>
        <x:v>0</x:v>
      </x:c>
      <x:c r="H261" s="2" t="n">
        <x:f>IFERROR(E261/F261,0)</x:f>
        <x:v>1</x:v>
      </x:c>
      <x:c r="I261" t="str">
        <x:v>Adequado</x:v>
      </x:c>
      <x:c r="J261" t="str">
        <x:v>CAEd_DadosExportados (3).zip</x:v>
      </x:c>
    </x:row>
    <x:row r="262">
      <x:c r="A262" t="str">
        <x:v>1A016</x:v>
      </x:c>
      <x:c r="B262" t="str">
        <x:v>1º ano</x:v>
      </x:c>
      <x:c r="C262" t="str">
        <x:v>contraprova</x:v>
      </x:c>
      <x:c r="D262" t="str">
        <x:v>H06</x:v>
      </x:c>
      <x:c r="E262" t="n">
        <x:v>3</x:v>
      </x:c>
      <x:c r="F262" t="n">
        <x:v>3</x:v>
      </x:c>
      <x:c r="G262" t="n">
        <x:f>F262-E262</x:f>
        <x:v>0</x:v>
      </x:c>
      <x:c r="H262" s="2" t="n">
        <x:f>IFERROR(E262/F262,0)</x:f>
        <x:v>1</x:v>
      </x:c>
      <x:c r="I262" t="str">
        <x:v>Adequado</x:v>
      </x:c>
      <x:c r="J262" t="str">
        <x:v>CAEd_DadosExportados (3).zip</x:v>
      </x:c>
    </x:row>
    <x:row r="263">
      <x:c r="A263" t="str">
        <x:v>1A016</x:v>
      </x:c>
      <x:c r="B263" t="str">
        <x:v>1º ano</x:v>
      </x:c>
      <x:c r="C263" t="str">
        <x:v>contraprova</x:v>
      </x:c>
      <x:c r="D263" t="str">
        <x:v>H07</x:v>
      </x:c>
      <x:c r="E263" t="n">
        <x:v>2</x:v>
      </x:c>
      <x:c r="F263" t="n">
        <x:v>2</x:v>
      </x:c>
      <x:c r="G263" t="n">
        <x:f>F263-E263</x:f>
        <x:v>0</x:v>
      </x:c>
      <x:c r="H263" s="2" t="n">
        <x:f>IFERROR(E263/F263,0)</x:f>
        <x:v>1</x:v>
      </x:c>
      <x:c r="I263" t="str">
        <x:v>Adequado</x:v>
      </x:c>
      <x:c r="J263" t="str">
        <x:v>CAEd_DadosExportados (3).zip</x:v>
      </x:c>
    </x:row>
    <x:row r="264">
      <x:c r="A264" t="str">
        <x:v>1A016</x:v>
      </x:c>
      <x:c r="B264" t="str">
        <x:v>1º ano</x:v>
      </x:c>
      <x:c r="C264" t="str">
        <x:v>contraprova</x:v>
      </x:c>
      <x:c r="D264" t="str">
        <x:v>H08</x:v>
      </x:c>
      <x:c r="E264" t="n">
        <x:v>2</x:v>
      </x:c>
      <x:c r="F264" t="n">
        <x:v>2</x:v>
      </x:c>
      <x:c r="G264" t="n">
        <x:f>F264-E264</x:f>
        <x:v>0</x:v>
      </x:c>
      <x:c r="H264" s="2" t="n">
        <x:f>IFERROR(E264/F264,0)</x:f>
        <x:v>1</x:v>
      </x:c>
      <x:c r="I264" t="str">
        <x:v>Adequado</x:v>
      </x:c>
      <x:c r="J264" t="str">
        <x:v>CAEd_DadosExportados (3).zip</x:v>
      </x:c>
    </x:row>
    <x:row r="265">
      <x:c r="A265" t="str">
        <x:v>1A016</x:v>
      </x:c>
      <x:c r="B265" t="str">
        <x:v>1º ano</x:v>
      </x:c>
      <x:c r="C265" t="str">
        <x:v>contraprova</x:v>
      </x:c>
      <x:c r="D265" t="str">
        <x:v>H09</x:v>
      </x:c>
      <x:c r="E265" t="n">
        <x:v>2</x:v>
      </x:c>
      <x:c r="F265" t="n">
        <x:v>2</x:v>
      </x:c>
      <x:c r="G265" t="n">
        <x:f>F265-E265</x:f>
        <x:v>0</x:v>
      </x:c>
      <x:c r="H265" s="2" t="n">
        <x:f>IFERROR(E265/F265,0)</x:f>
        <x:v>1</x:v>
      </x:c>
      <x:c r="I265" t="str">
        <x:v>Adequado</x:v>
      </x:c>
      <x:c r="J265" t="str">
        <x:v>CAEd_DadosExportados (3).zip</x:v>
      </x:c>
    </x:row>
    <x:row r="266">
      <x:c r="A266" t="str">
        <x:v>1A016</x:v>
      </x:c>
      <x:c r="B266" t="str">
        <x:v>1º ano</x:v>
      </x:c>
      <x:c r="C266" t="str">
        <x:v>referencia</x:v>
      </x:c>
      <x:c r="D266" t="str">
        <x:v>H01</x:v>
      </x:c>
      <x:c r="E266" t="n">
        <x:v>2</x:v>
      </x:c>
      <x:c r="F266" t="n">
        <x:v>3</x:v>
      </x:c>
      <x:c r="G266" t="n">
        <x:f>F266-E266</x:f>
        <x:v>1</x:v>
      </x:c>
      <x:c r="H266" s="2" t="n">
        <x:f>IFERROR(E266/F266,0)</x:f>
        <x:v>0.6666666666666666</x:v>
      </x:c>
      <x:c r="I266" t="str">
        <x:v>Intermediário</x:v>
      </x:c>
      <x:c r="J266" t="str">
        <x:v>CAEd_DadosExportados.zip</x:v>
      </x:c>
    </x:row>
    <x:row r="267">
      <x:c r="A267" t="str">
        <x:v>1A016</x:v>
      </x:c>
      <x:c r="B267" t="str">
        <x:v>1º ano</x:v>
      </x:c>
      <x:c r="C267" t="str">
        <x:v>referencia</x:v>
      </x:c>
      <x:c r="D267" t="str">
        <x:v>H02</x:v>
      </x:c>
      <x:c r="E267" t="n">
        <x:v>2</x:v>
      </x:c>
      <x:c r="F267" t="n">
        <x:v>3</x:v>
      </x:c>
      <x:c r="G267" t="n">
        <x:f>F267-E267</x:f>
        <x:v>1</x:v>
      </x:c>
      <x:c r="H267" s="2" t="n">
        <x:f>IFERROR(E267/F267,0)</x:f>
        <x:v>0.6666666666666666</x:v>
      </x:c>
      <x:c r="I267" t="str">
        <x:v>Intermediário</x:v>
      </x:c>
      <x:c r="J267" t="str">
        <x:v>CAEd_DadosExportados.zip</x:v>
      </x:c>
    </x:row>
    <x:row r="268">
      <x:c r="A268" t="str">
        <x:v>1A016</x:v>
      </x:c>
      <x:c r="B268" t="str">
        <x:v>1º ano</x:v>
      </x:c>
      <x:c r="C268" t="str">
        <x:v>referencia</x:v>
      </x:c>
      <x:c r="D268" t="str">
        <x:v>H03</x:v>
      </x:c>
      <x:c r="E268" t="n">
        <x:v>1</x:v>
      </x:c>
      <x:c r="F268" t="n">
        <x:v>3</x:v>
      </x:c>
      <x:c r="G268" t="n">
        <x:f>F268-E268</x:f>
        <x:v>2</x:v>
      </x:c>
      <x:c r="H268" s="2" t="n">
        <x:f>IFERROR(E268/F268,0)</x:f>
        <x:v>0.3333333333333333</x:v>
      </x:c>
      <x:c r="I268" t="str">
        <x:v>Intermediário</x:v>
      </x:c>
      <x:c r="J268" t="str">
        <x:v>CAEd_DadosExportados.zip</x:v>
      </x:c>
    </x:row>
    <x:row r="269">
      <x:c r="A269" t="str">
        <x:v>1A016</x:v>
      </x:c>
      <x:c r="B269" t="str">
        <x:v>1º ano</x:v>
      </x:c>
      <x:c r="C269" t="str">
        <x:v>referencia</x:v>
      </x:c>
      <x:c r="D269" t="str">
        <x:v>H04</x:v>
      </x:c>
      <x:c r="E269" t="n">
        <x:v>1</x:v>
      </x:c>
      <x:c r="F269" t="n">
        <x:v>3</x:v>
      </x:c>
      <x:c r="G269" t="n">
        <x:f>F269-E269</x:f>
        <x:v>2</x:v>
      </x:c>
      <x:c r="H269" s="2" t="n">
        <x:f>IFERROR(E269/F269,0)</x:f>
        <x:v>0.3333333333333333</x:v>
      </x:c>
      <x:c r="I269" t="str">
        <x:v>Intermediário</x:v>
      </x:c>
      <x:c r="J269" t="str">
        <x:v>CAEd_DadosExportados.zip</x:v>
      </x:c>
    </x:row>
    <x:row r="270">
      <x:c r="A270" t="str">
        <x:v>1A016</x:v>
      </x:c>
      <x:c r="B270" t="str">
        <x:v>1º ano</x:v>
      </x:c>
      <x:c r="C270" t="str">
        <x:v>referencia</x:v>
      </x:c>
      <x:c r="D270" t="str">
        <x:v>H05</x:v>
      </x:c>
      <x:c r="E270" t="n">
        <x:v>2</x:v>
      </x:c>
      <x:c r="F270" t="n">
        <x:v>3</x:v>
      </x:c>
      <x:c r="G270" t="n">
        <x:f>F270-E270</x:f>
        <x:v>1</x:v>
      </x:c>
      <x:c r="H270" s="2" t="n">
        <x:f>IFERROR(E270/F270,0)</x:f>
        <x:v>0.6666666666666666</x:v>
      </x:c>
      <x:c r="I270" t="str">
        <x:v>Intermediário</x:v>
      </x:c>
      <x:c r="J270" t="str">
        <x:v>CAEd_DadosExportados.zip</x:v>
      </x:c>
    </x:row>
    <x:row r="271">
      <x:c r="A271" t="str">
        <x:v>1A016</x:v>
      </x:c>
      <x:c r="B271" t="str">
        <x:v>1º ano</x:v>
      </x:c>
      <x:c r="C271" t="str">
        <x:v>referencia</x:v>
      </x:c>
      <x:c r="D271" t="str">
        <x:v>H06</x:v>
      </x:c>
      <x:c r="E271" t="n">
        <x:v>2</x:v>
      </x:c>
      <x:c r="F271" t="n">
        <x:v>3</x:v>
      </x:c>
      <x:c r="G271" t="n">
        <x:f>F271-E271</x:f>
        <x:v>1</x:v>
      </x:c>
      <x:c r="H271" s="2" t="n">
        <x:f>IFERROR(E271/F271,0)</x:f>
        <x:v>0.6666666666666666</x:v>
      </x:c>
      <x:c r="I271" t="str">
        <x:v>Intermediário</x:v>
      </x:c>
      <x:c r="J271" t="str">
        <x:v>CAEd_DadosExportados.zip</x:v>
      </x:c>
    </x:row>
    <x:row r="272">
      <x:c r="A272" t="str">
        <x:v>1A016</x:v>
      </x:c>
      <x:c r="B272" t="str">
        <x:v>1º ano</x:v>
      </x:c>
      <x:c r="C272" t="str">
        <x:v>referencia</x:v>
      </x:c>
      <x:c r="D272" t="str">
        <x:v>H07</x:v>
      </x:c>
      <x:c r="E272" t="n">
        <x:v>1</x:v>
      </x:c>
      <x:c r="F272" t="n">
        <x:v>2</x:v>
      </x:c>
      <x:c r="G272" t="n">
        <x:f>F272-E272</x:f>
        <x:v>1</x:v>
      </x:c>
      <x:c r="H272" s="2" t="n">
        <x:f>IFERROR(E272/F272,0)</x:f>
        <x:v>0.5</x:v>
      </x:c>
      <x:c r="I272" t="str">
        <x:v>Intermediário</x:v>
      </x:c>
      <x:c r="J272" t="str">
        <x:v>CAEd_DadosExportados.zip</x:v>
      </x:c>
    </x:row>
    <x:row r="273">
      <x:c r="A273" t="str">
        <x:v>1A016</x:v>
      </x:c>
      <x:c r="B273" t="str">
        <x:v>1º ano</x:v>
      </x:c>
      <x:c r="C273" t="str">
        <x:v>referencia</x:v>
      </x:c>
      <x:c r="D273" t="str">
        <x:v>H08</x:v>
      </x:c>
      <x:c r="E273" t="n">
        <x:v>1</x:v>
      </x:c>
      <x:c r="F273" t="n">
        <x:v>2</x:v>
      </x:c>
      <x:c r="G273" t="n">
        <x:f>F273-E273</x:f>
        <x:v>1</x:v>
      </x:c>
      <x:c r="H273" s="2" t="n">
        <x:f>IFERROR(E273/F273,0)</x:f>
        <x:v>0.5</x:v>
      </x:c>
      <x:c r="I273" t="str">
        <x:v>Intermediário</x:v>
      </x:c>
      <x:c r="J273" t="str">
        <x:v>CAEd_DadosExportados.zip</x:v>
      </x:c>
    </x:row>
    <x:row r="274">
      <x:c r="A274" t="str">
        <x:v>1A017</x:v>
      </x:c>
      <x:c r="B274" t="str">
        <x:v>1º ano</x:v>
      </x:c>
      <x:c r="C274" t="str">
        <x:v>contraprova</x:v>
      </x:c>
      <x:c r="D274" t="str">
        <x:v>H01</x:v>
      </x:c>
      <x:c r="E274" t="n">
        <x:v>1</x:v>
      </x:c>
      <x:c r="F274" t="n">
        <x:v>2</x:v>
      </x:c>
      <x:c r="G274" t="n">
        <x:f>F274-E274</x:f>
        <x:v>1</x:v>
      </x:c>
      <x:c r="H274" s="2" t="n">
        <x:f>IFERROR(E274/F274,0)</x:f>
        <x:v>0.5</x:v>
      </x:c>
      <x:c r="I274" t="str">
        <x:v>Intermediário</x:v>
      </x:c>
      <x:c r="J274" t="str">
        <x:v>CAEd_DadosExportados (3).zip</x:v>
      </x:c>
    </x:row>
    <x:row r="275">
      <x:c r="A275" t="str">
        <x:v>1A017</x:v>
      </x:c>
      <x:c r="B275" t="str">
        <x:v>1º ano</x:v>
      </x:c>
      <x:c r="C275" t="str">
        <x:v>contraprova</x:v>
      </x:c>
      <x:c r="D275" t="str">
        <x:v>H02</x:v>
      </x:c>
      <x:c r="E275" t="n">
        <x:v>1</x:v>
      </x:c>
      <x:c r="F275" t="n">
        <x:v>2</x:v>
      </x:c>
      <x:c r="G275" t="n">
        <x:f>F275-E275</x:f>
        <x:v>1</x:v>
      </x:c>
      <x:c r="H275" s="2" t="n">
        <x:f>IFERROR(E275/F275,0)</x:f>
        <x:v>0.5</x:v>
      </x:c>
      <x:c r="I275" t="str">
        <x:v>Intermediário</x:v>
      </x:c>
      <x:c r="J275" t="str">
        <x:v>CAEd_DadosExportados (3).zip</x:v>
      </x:c>
    </x:row>
    <x:row r="276">
      <x:c r="A276" t="str">
        <x:v>1A017</x:v>
      </x:c>
      <x:c r="B276" t="str">
        <x:v>1º ano</x:v>
      </x:c>
      <x:c r="C276" t="str">
        <x:v>contraprova</x:v>
      </x:c>
      <x:c r="D276" t="str">
        <x:v>H03</x:v>
      </x:c>
      <x:c r="E276" t="n">
        <x:v>2</x:v>
      </x:c>
      <x:c r="F276" t="n">
        <x:v>3</x:v>
      </x:c>
      <x:c r="G276" t="n">
        <x:f>F276-E276</x:f>
        <x:v>1</x:v>
      </x:c>
      <x:c r="H276" s="2" t="n">
        <x:f>IFERROR(E276/F276,0)</x:f>
        <x:v>0.6666666666666666</x:v>
      </x:c>
      <x:c r="I276" t="str">
        <x:v>Intermediário</x:v>
      </x:c>
      <x:c r="J276" t="str">
        <x:v>CAEd_DadosExportados (3).zip</x:v>
      </x:c>
    </x:row>
    <x:row r="277">
      <x:c r="A277" t="str">
        <x:v>1A017</x:v>
      </x:c>
      <x:c r="B277" t="str">
        <x:v>1º ano</x:v>
      </x:c>
      <x:c r="C277" t="str">
        <x:v>contraprova</x:v>
      </x:c>
      <x:c r="D277" t="str">
        <x:v>H04</x:v>
      </x:c>
      <x:c r="E277" t="n">
        <x:v>1</x:v>
      </x:c>
      <x:c r="F277" t="n">
        <x:v>3</x:v>
      </x:c>
      <x:c r="G277" t="n">
        <x:f>F277-E277</x:f>
        <x:v>2</x:v>
      </x:c>
      <x:c r="H277" s="2" t="n">
        <x:f>IFERROR(E277/F277,0)</x:f>
        <x:v>0.3333333333333333</x:v>
      </x:c>
      <x:c r="I277" t="str">
        <x:v>Intermediário</x:v>
      </x:c>
      <x:c r="J277" t="str">
        <x:v>CAEd_DadosExportados (3).zip</x:v>
      </x:c>
    </x:row>
    <x:row r="278">
      <x:c r="A278" t="str">
        <x:v>1A017</x:v>
      </x:c>
      <x:c r="B278" t="str">
        <x:v>1º ano</x:v>
      </x:c>
      <x:c r="C278" t="str">
        <x:v>contraprova</x:v>
      </x:c>
      <x:c r="D278" t="str">
        <x:v>H05</x:v>
      </x:c>
      <x:c r="E278" t="n">
        <x:v>2</x:v>
      </x:c>
      <x:c r="F278" t="n">
        <x:v>3</x:v>
      </x:c>
      <x:c r="G278" t="n">
        <x:f>F278-E278</x:f>
        <x:v>1</x:v>
      </x:c>
      <x:c r="H278" s="2" t="n">
        <x:f>IFERROR(E278/F278,0)</x:f>
        <x:v>0.6666666666666666</x:v>
      </x:c>
      <x:c r="I278" t="str">
        <x:v>Intermediário</x:v>
      </x:c>
      <x:c r="J278" t="str">
        <x:v>CAEd_DadosExportados (3).zip</x:v>
      </x:c>
    </x:row>
    <x:row r="279">
      <x:c r="A279" t="str">
        <x:v>1A017</x:v>
      </x:c>
      <x:c r="B279" t="str">
        <x:v>1º ano</x:v>
      </x:c>
      <x:c r="C279" t="str">
        <x:v>contraprova</x:v>
      </x:c>
      <x:c r="D279" t="str">
        <x:v>H06</x:v>
      </x:c>
      <x:c r="E279" t="n">
        <x:v>3</x:v>
      </x:c>
      <x:c r="F279" t="n">
        <x:v>3</x:v>
      </x:c>
      <x:c r="G279" t="n">
        <x:f>F279-E279</x:f>
        <x:v>0</x:v>
      </x:c>
      <x:c r="H279" s="2" t="n">
        <x:f>IFERROR(E279/F279,0)</x:f>
        <x:v>1</x:v>
      </x:c>
      <x:c r="I279" t="str">
        <x:v>Intermediário</x:v>
      </x:c>
      <x:c r="J279" t="str">
        <x:v>CAEd_DadosExportados (3).zip</x:v>
      </x:c>
    </x:row>
    <x:row r="280">
      <x:c r="A280" t="str">
        <x:v>1A017</x:v>
      </x:c>
      <x:c r="B280" t="str">
        <x:v>1º ano</x:v>
      </x:c>
      <x:c r="C280" t="str">
        <x:v>contraprova</x:v>
      </x:c>
      <x:c r="D280" t="str">
        <x:v>H07</x:v>
      </x:c>
      <x:c r="E280" t="n">
        <x:v>0</x:v>
      </x:c>
      <x:c r="F280" t="n">
        <x:v>2</x:v>
      </x:c>
      <x:c r="G280" t="n">
        <x:f>F280-E280</x:f>
        <x:v>2</x:v>
      </x:c>
      <x:c r="H280" s="2" t="n">
        <x:f>IFERROR(E280/F280,0)</x:f>
        <x:v>0</x:v>
      </x:c>
      <x:c r="I280" t="str">
        <x:v>Intermediário</x:v>
      </x:c>
      <x:c r="J280" t="str">
        <x:v>CAEd_DadosExportados (3).zip</x:v>
      </x:c>
    </x:row>
    <x:row r="281">
      <x:c r="A281" t="str">
        <x:v>1A017</x:v>
      </x:c>
      <x:c r="B281" t="str">
        <x:v>1º ano</x:v>
      </x:c>
      <x:c r="C281" t="str">
        <x:v>contraprova</x:v>
      </x:c>
      <x:c r="D281" t="str">
        <x:v>H08</x:v>
      </x:c>
      <x:c r="E281" t="n">
        <x:v>2</x:v>
      </x:c>
      <x:c r="F281" t="n">
        <x:v>2</x:v>
      </x:c>
      <x:c r="G281" t="n">
        <x:f>F281-E281</x:f>
        <x:v>0</x:v>
      </x:c>
      <x:c r="H281" s="2" t="n">
        <x:f>IFERROR(E281/F281,0)</x:f>
        <x:v>1</x:v>
      </x:c>
      <x:c r="I281" t="str">
        <x:v>Intermediário</x:v>
      </x:c>
      <x:c r="J281" t="str">
        <x:v>CAEd_DadosExportados (3).zip</x:v>
      </x:c>
    </x:row>
    <x:row r="282">
      <x:c r="A282" t="str">
        <x:v>1A017</x:v>
      </x:c>
      <x:c r="B282" t="str">
        <x:v>1º ano</x:v>
      </x:c>
      <x:c r="C282" t="str">
        <x:v>contraprova</x:v>
      </x:c>
      <x:c r="D282" t="str">
        <x:v>H09</x:v>
      </x:c>
      <x:c r="E282" t="n">
        <x:v>2</x:v>
      </x:c>
      <x:c r="F282" t="n">
        <x:v>2</x:v>
      </x:c>
      <x:c r="G282" t="n">
        <x:f>F282-E282</x:f>
        <x:v>0</x:v>
      </x:c>
      <x:c r="H282" s="2" t="n">
        <x:f>IFERROR(E282/F282,0)</x:f>
        <x:v>1</x:v>
      </x:c>
      <x:c r="I282" t="str">
        <x:v>Intermediário</x:v>
      </x:c>
      <x:c r="J282" t="str">
        <x:v>CAEd_DadosExportados (3).zip</x:v>
      </x:c>
    </x:row>
    <x:row r="283">
      <x:c r="A283" t="str">
        <x:v>1A017</x:v>
      </x:c>
      <x:c r="B283" t="str">
        <x:v>1º ano</x:v>
      </x:c>
      <x:c r="C283" t="str">
        <x:v>referencia</x:v>
      </x:c>
      <x:c r="D283" t="str">
        <x:v>H01</x:v>
      </x:c>
      <x:c r="E283" t="n">
        <x:v>2</x:v>
      </x:c>
      <x:c r="F283" t="n">
        <x:v>3</x:v>
      </x:c>
      <x:c r="G283" t="n">
        <x:f>F283-E283</x:f>
        <x:v>1</x:v>
      </x:c>
      <x:c r="H283" s="2" t="n">
        <x:f>IFERROR(E283/F283,0)</x:f>
        <x:v>0.6666666666666666</x:v>
      </x:c>
      <x:c r="I283" t="str">
        <x:v>Adequado</x:v>
      </x:c>
      <x:c r="J283" t="str">
        <x:v>CAEd_DadosExportados.zip</x:v>
      </x:c>
    </x:row>
    <x:row r="284">
      <x:c r="A284" t="str">
        <x:v>1A017</x:v>
      </x:c>
      <x:c r="B284" t="str">
        <x:v>1º ano</x:v>
      </x:c>
      <x:c r="C284" t="str">
        <x:v>referencia</x:v>
      </x:c>
      <x:c r="D284" t="str">
        <x:v>H02</x:v>
      </x:c>
      <x:c r="E284" t="n">
        <x:v>3</x:v>
      </x:c>
      <x:c r="F284" t="n">
        <x:v>3</x:v>
      </x:c>
      <x:c r="G284" t="n">
        <x:f>F284-E284</x:f>
        <x:v>0</x:v>
      </x:c>
      <x:c r="H284" s="2" t="n">
        <x:f>IFERROR(E284/F284,0)</x:f>
        <x:v>1</x:v>
      </x:c>
      <x:c r="I284" t="str">
        <x:v>Adequado</x:v>
      </x:c>
      <x:c r="J284" t="str">
        <x:v>CAEd_DadosExportados.zip</x:v>
      </x:c>
    </x:row>
    <x:row r="285">
      <x:c r="A285" t="str">
        <x:v>1A017</x:v>
      </x:c>
      <x:c r="B285" t="str">
        <x:v>1º ano</x:v>
      </x:c>
      <x:c r="C285" t="str">
        <x:v>referencia</x:v>
      </x:c>
      <x:c r="D285" t="str">
        <x:v>H03</x:v>
      </x:c>
      <x:c r="E285" t="n">
        <x:v>2</x:v>
      </x:c>
      <x:c r="F285" t="n">
        <x:v>3</x:v>
      </x:c>
      <x:c r="G285" t="n">
        <x:f>F285-E285</x:f>
        <x:v>1</x:v>
      </x:c>
      <x:c r="H285" s="2" t="n">
        <x:f>IFERROR(E285/F285,0)</x:f>
        <x:v>0.6666666666666666</x:v>
      </x:c>
      <x:c r="I285" t="str">
        <x:v>Adequado</x:v>
      </x:c>
      <x:c r="J285" t="str">
        <x:v>CAEd_DadosExportados.zip</x:v>
      </x:c>
    </x:row>
    <x:row r="286">
      <x:c r="A286" t="str">
        <x:v>1A017</x:v>
      </x:c>
      <x:c r="B286" t="str">
        <x:v>1º ano</x:v>
      </x:c>
      <x:c r="C286" t="str">
        <x:v>referencia</x:v>
      </x:c>
      <x:c r="D286" t="str">
        <x:v>H04</x:v>
      </x:c>
      <x:c r="E286" t="n">
        <x:v>2</x:v>
      </x:c>
      <x:c r="F286" t="n">
        <x:v>3</x:v>
      </x:c>
      <x:c r="G286" t="n">
        <x:f>F286-E286</x:f>
        <x:v>1</x:v>
      </x:c>
      <x:c r="H286" s="2" t="n">
        <x:f>IFERROR(E286/F286,0)</x:f>
        <x:v>0.6666666666666666</x:v>
      </x:c>
      <x:c r="I286" t="str">
        <x:v>Adequado</x:v>
      </x:c>
      <x:c r="J286" t="str">
        <x:v>CAEd_DadosExportados.zip</x:v>
      </x:c>
    </x:row>
    <x:row r="287">
      <x:c r="A287" t="str">
        <x:v>1A017</x:v>
      </x:c>
      <x:c r="B287" t="str">
        <x:v>1º ano</x:v>
      </x:c>
      <x:c r="C287" t="str">
        <x:v>referencia</x:v>
      </x:c>
      <x:c r="D287" t="str">
        <x:v>H05</x:v>
      </x:c>
      <x:c r="E287" t="n">
        <x:v>3</x:v>
      </x:c>
      <x:c r="F287" t="n">
        <x:v>3</x:v>
      </x:c>
      <x:c r="G287" t="n">
        <x:f>F287-E287</x:f>
        <x:v>0</x:v>
      </x:c>
      <x:c r="H287" s="2" t="n">
        <x:f>IFERROR(E287/F287,0)</x:f>
        <x:v>1</x:v>
      </x:c>
      <x:c r="I287" t="str">
        <x:v>Adequado</x:v>
      </x:c>
      <x:c r="J287" t="str">
        <x:v>CAEd_DadosExportados.zip</x:v>
      </x:c>
    </x:row>
    <x:row r="288">
      <x:c r="A288" t="str">
        <x:v>1A017</x:v>
      </x:c>
      <x:c r="B288" t="str">
        <x:v>1º ano</x:v>
      </x:c>
      <x:c r="C288" t="str">
        <x:v>referencia</x:v>
      </x:c>
      <x:c r="D288" t="str">
        <x:v>H06</x:v>
      </x:c>
      <x:c r="E288" t="n">
        <x:v>3</x:v>
      </x:c>
      <x:c r="F288" t="n">
        <x:v>3</x:v>
      </x:c>
      <x:c r="G288" t="n">
        <x:f>F288-E288</x:f>
        <x:v>0</x:v>
      </x:c>
      <x:c r="H288" s="2" t="n">
        <x:f>IFERROR(E288/F288,0)</x:f>
        <x:v>1</x:v>
      </x:c>
      <x:c r="I288" t="str">
        <x:v>Adequado</x:v>
      </x:c>
      <x:c r="J288" t="str">
        <x:v>CAEd_DadosExportados.zip</x:v>
      </x:c>
    </x:row>
    <x:row r="289">
      <x:c r="A289" t="str">
        <x:v>1A017</x:v>
      </x:c>
      <x:c r="B289" t="str">
        <x:v>1º ano</x:v>
      </x:c>
      <x:c r="C289" t="str">
        <x:v>referencia</x:v>
      </x:c>
      <x:c r="D289" t="str">
        <x:v>H07</x:v>
      </x:c>
      <x:c r="E289" t="n">
        <x:v>2</x:v>
      </x:c>
      <x:c r="F289" t="n">
        <x:v>2</x:v>
      </x:c>
      <x:c r="G289" t="n">
        <x:f>F289-E289</x:f>
        <x:v>0</x:v>
      </x:c>
      <x:c r="H289" s="2" t="n">
        <x:f>IFERROR(E289/F289,0)</x:f>
        <x:v>1</x:v>
      </x:c>
      <x:c r="I289" t="str">
        <x:v>Adequado</x:v>
      </x:c>
      <x:c r="J289" t="str">
        <x:v>CAEd_DadosExportados.zip</x:v>
      </x:c>
    </x:row>
    <x:row r="290">
      <x:c r="A290" t="str">
        <x:v>1A017</x:v>
      </x:c>
      <x:c r="B290" t="str">
        <x:v>1º ano</x:v>
      </x:c>
      <x:c r="C290" t="str">
        <x:v>referencia</x:v>
      </x:c>
      <x:c r="D290" t="str">
        <x:v>H08</x:v>
      </x:c>
      <x:c r="E290" t="n">
        <x:v>1</x:v>
      </x:c>
      <x:c r="F290" t="n">
        <x:v>2</x:v>
      </x:c>
      <x:c r="G290" t="n">
        <x:f>F290-E290</x:f>
        <x:v>1</x:v>
      </x:c>
      <x:c r="H290" s="2" t="n">
        <x:f>IFERROR(E290/F290,0)</x:f>
        <x:v>0.5</x:v>
      </x:c>
      <x:c r="I290" t="str">
        <x:v>Adequado</x:v>
      </x:c>
      <x:c r="J290" t="str">
        <x:v>CAEd_DadosExportados.zip</x:v>
      </x:c>
    </x:row>
    <x:row r="291">
      <x:c r="A291" t="str">
        <x:v>1A018</x:v>
      </x:c>
      <x:c r="B291" t="str">
        <x:v>1º ano</x:v>
      </x:c>
      <x:c r="C291" t="str">
        <x:v>contraprova</x:v>
      </x:c>
      <x:c r="D291" t="str">
        <x:v>H01</x:v>
      </x:c>
      <x:c r="E291" t="n">
        <x:v>2</x:v>
      </x:c>
      <x:c r="F291" t="n">
        <x:v>2</x:v>
      </x:c>
      <x:c r="G291" t="n">
        <x:f>F291-E291</x:f>
        <x:v>0</x:v>
      </x:c>
      <x:c r="H291" s="2" t="n">
        <x:f>IFERROR(E291/F291,0)</x:f>
        <x:v>1</x:v>
      </x:c>
      <x:c r="I291" t="str">
        <x:v>Intermediário</x:v>
      </x:c>
      <x:c r="J291" t="str">
        <x:v>CAEd_DadosExportados (3).zip</x:v>
      </x:c>
    </x:row>
    <x:row r="292">
      <x:c r="A292" t="str">
        <x:v>1A018</x:v>
      </x:c>
      <x:c r="B292" t="str">
        <x:v>1º ano</x:v>
      </x:c>
      <x:c r="C292" t="str">
        <x:v>contraprova</x:v>
      </x:c>
      <x:c r="D292" t="str">
        <x:v>H02</x:v>
      </x:c>
      <x:c r="E292" t="n">
        <x:v>1</x:v>
      </x:c>
      <x:c r="F292" t="n">
        <x:v>2</x:v>
      </x:c>
      <x:c r="G292" t="n">
        <x:f>F292-E292</x:f>
        <x:v>1</x:v>
      </x:c>
      <x:c r="H292" s="2" t="n">
        <x:f>IFERROR(E292/F292,0)</x:f>
        <x:v>0.5</x:v>
      </x:c>
      <x:c r="I292" t="str">
        <x:v>Intermediário</x:v>
      </x:c>
      <x:c r="J292" t="str">
        <x:v>CAEd_DadosExportados (3).zip</x:v>
      </x:c>
    </x:row>
    <x:row r="293">
      <x:c r="A293" t="str">
        <x:v>1A018</x:v>
      </x:c>
      <x:c r="B293" t="str">
        <x:v>1º ano</x:v>
      </x:c>
      <x:c r="C293" t="str">
        <x:v>contraprova</x:v>
      </x:c>
      <x:c r="D293" t="str">
        <x:v>H03</x:v>
      </x:c>
      <x:c r="E293" t="n">
        <x:v>2</x:v>
      </x:c>
      <x:c r="F293" t="n">
        <x:v>3</x:v>
      </x:c>
      <x:c r="G293" t="n">
        <x:f>F293-E293</x:f>
        <x:v>1</x:v>
      </x:c>
      <x:c r="H293" s="2" t="n">
        <x:f>IFERROR(E293/F293,0)</x:f>
        <x:v>0.6666666666666666</x:v>
      </x:c>
      <x:c r="I293" t="str">
        <x:v>Intermediário</x:v>
      </x:c>
      <x:c r="J293" t="str">
        <x:v>CAEd_DadosExportados (3).zip</x:v>
      </x:c>
    </x:row>
    <x:row r="294">
      <x:c r="A294" t="str">
        <x:v>1A018</x:v>
      </x:c>
      <x:c r="B294" t="str">
        <x:v>1º ano</x:v>
      </x:c>
      <x:c r="C294" t="str">
        <x:v>contraprova</x:v>
      </x:c>
      <x:c r="D294" t="str">
        <x:v>H04</x:v>
      </x:c>
      <x:c r="E294" t="n">
        <x:v>1</x:v>
      </x:c>
      <x:c r="F294" t="n">
        <x:v>3</x:v>
      </x:c>
      <x:c r="G294" t="n">
        <x:f>F294-E294</x:f>
        <x:v>2</x:v>
      </x:c>
      <x:c r="H294" s="2" t="n">
        <x:f>IFERROR(E294/F294,0)</x:f>
        <x:v>0.3333333333333333</x:v>
      </x:c>
      <x:c r="I294" t="str">
        <x:v>Intermediário</x:v>
      </x:c>
      <x:c r="J294" t="str">
        <x:v>CAEd_DadosExportados (3).zip</x:v>
      </x:c>
    </x:row>
    <x:row r="295">
      <x:c r="A295" t="str">
        <x:v>1A018</x:v>
      </x:c>
      <x:c r="B295" t="str">
        <x:v>1º ano</x:v>
      </x:c>
      <x:c r="C295" t="str">
        <x:v>contraprova</x:v>
      </x:c>
      <x:c r="D295" t="str">
        <x:v>H05</x:v>
      </x:c>
      <x:c r="E295" t="n">
        <x:v>2</x:v>
      </x:c>
      <x:c r="F295" t="n">
        <x:v>3</x:v>
      </x:c>
      <x:c r="G295" t="n">
        <x:f>F295-E295</x:f>
        <x:v>1</x:v>
      </x:c>
      <x:c r="H295" s="2" t="n">
        <x:f>IFERROR(E295/F295,0)</x:f>
        <x:v>0.6666666666666666</x:v>
      </x:c>
      <x:c r="I295" t="str">
        <x:v>Intermediário</x:v>
      </x:c>
      <x:c r="J295" t="str">
        <x:v>CAEd_DadosExportados (3).zip</x:v>
      </x:c>
    </x:row>
    <x:row r="296">
      <x:c r="A296" t="str">
        <x:v>1A018</x:v>
      </x:c>
      <x:c r="B296" t="str">
        <x:v>1º ano</x:v>
      </x:c>
      <x:c r="C296" t="str">
        <x:v>contraprova</x:v>
      </x:c>
      <x:c r="D296" t="str">
        <x:v>H06</x:v>
      </x:c>
      <x:c r="E296" t="n">
        <x:v>2</x:v>
      </x:c>
      <x:c r="F296" t="n">
        <x:v>3</x:v>
      </x:c>
      <x:c r="G296" t="n">
        <x:f>F296-E296</x:f>
        <x:v>1</x:v>
      </x:c>
      <x:c r="H296" s="2" t="n">
        <x:f>IFERROR(E296/F296,0)</x:f>
        <x:v>0.6666666666666666</x:v>
      </x:c>
      <x:c r="I296" t="str">
        <x:v>Intermediário</x:v>
      </x:c>
      <x:c r="J296" t="str">
        <x:v>CAEd_DadosExportados (3).zip</x:v>
      </x:c>
    </x:row>
    <x:row r="297">
      <x:c r="A297" t="str">
        <x:v>1A018</x:v>
      </x:c>
      <x:c r="B297" t="str">
        <x:v>1º ano</x:v>
      </x:c>
      <x:c r="C297" t="str">
        <x:v>contraprova</x:v>
      </x:c>
      <x:c r="D297" t="str">
        <x:v>H07</x:v>
      </x:c>
      <x:c r="E297" t="n">
        <x:v>1</x:v>
      </x:c>
      <x:c r="F297" t="n">
        <x:v>2</x:v>
      </x:c>
      <x:c r="G297" t="n">
        <x:f>F297-E297</x:f>
        <x:v>1</x:v>
      </x:c>
      <x:c r="H297" s="2" t="n">
        <x:f>IFERROR(E297/F297,0)</x:f>
        <x:v>0.5</x:v>
      </x:c>
      <x:c r="I297" t="str">
        <x:v>Intermediário</x:v>
      </x:c>
      <x:c r="J297" t="str">
        <x:v>CAEd_DadosExportados (3).zip</x:v>
      </x:c>
    </x:row>
    <x:row r="298">
      <x:c r="A298" t="str">
        <x:v>1A018</x:v>
      </x:c>
      <x:c r="B298" t="str">
        <x:v>1º ano</x:v>
      </x:c>
      <x:c r="C298" t="str">
        <x:v>contraprova</x:v>
      </x:c>
      <x:c r="D298" t="str">
        <x:v>H08</x:v>
      </x:c>
      <x:c r="E298" t="n">
        <x:v>1</x:v>
      </x:c>
      <x:c r="F298" t="n">
        <x:v>2</x:v>
      </x:c>
      <x:c r="G298" t="n">
        <x:f>F298-E298</x:f>
        <x:v>1</x:v>
      </x:c>
      <x:c r="H298" s="2" t="n">
        <x:f>IFERROR(E298/F298,0)</x:f>
        <x:v>0.5</x:v>
      </x:c>
      <x:c r="I298" t="str">
        <x:v>Intermediário</x:v>
      </x:c>
      <x:c r="J298" t="str">
        <x:v>CAEd_DadosExportados (3).zip</x:v>
      </x:c>
    </x:row>
    <x:row r="299">
      <x:c r="A299" t="str">
        <x:v>1A018</x:v>
      </x:c>
      <x:c r="B299" t="str">
        <x:v>1º ano</x:v>
      </x:c>
      <x:c r="C299" t="str">
        <x:v>contraprova</x:v>
      </x:c>
      <x:c r="D299" t="str">
        <x:v>H09</x:v>
      </x:c>
      <x:c r="E299" t="n">
        <x:v>2</x:v>
      </x:c>
      <x:c r="F299" t="n">
        <x:v>2</x:v>
      </x:c>
      <x:c r="G299" t="n">
        <x:f>F299-E299</x:f>
        <x:v>0</x:v>
      </x:c>
      <x:c r="H299" s="2" t="n">
        <x:f>IFERROR(E299/F299,0)</x:f>
        <x:v>1</x:v>
      </x:c>
      <x:c r="I299" t="str">
        <x:v>Intermediário</x:v>
      </x:c>
      <x:c r="J299" t="str">
        <x:v>CAEd_DadosExportados (3).zip</x:v>
      </x:c>
    </x:row>
    <x:row r="300">
      <x:c r="A300" t="str">
        <x:v>1A018</x:v>
      </x:c>
      <x:c r="B300" t="str">
        <x:v>1º ano</x:v>
      </x:c>
      <x:c r="C300" t="str">
        <x:v>referencia</x:v>
      </x:c>
      <x:c r="D300" t="str">
        <x:v>H01</x:v>
      </x:c>
      <x:c r="E300" t="n">
        <x:v>3</x:v>
      </x:c>
      <x:c r="F300" t="n">
        <x:v>3</x:v>
      </x:c>
      <x:c r="G300" t="n">
        <x:f>F300-E300</x:f>
        <x:v>0</x:v>
      </x:c>
      <x:c r="H300" s="2" t="n">
        <x:f>IFERROR(E300/F300,0)</x:f>
        <x:v>1</x:v>
      </x:c>
      <x:c r="I300" t="str">
        <x:v>Intermediário</x:v>
      </x:c>
      <x:c r="J300" t="str">
        <x:v>CAEd_DadosExportados.zip</x:v>
      </x:c>
    </x:row>
    <x:row r="301">
      <x:c r="A301" t="str">
        <x:v>1A018</x:v>
      </x:c>
      <x:c r="B301" t="str">
        <x:v>1º ano</x:v>
      </x:c>
      <x:c r="C301" t="str">
        <x:v>referencia</x:v>
      </x:c>
      <x:c r="D301" t="str">
        <x:v>H02</x:v>
      </x:c>
      <x:c r="E301" t="n">
        <x:v>2</x:v>
      </x:c>
      <x:c r="F301" t="n">
        <x:v>3</x:v>
      </x:c>
      <x:c r="G301" t="n">
        <x:f>F301-E301</x:f>
        <x:v>1</x:v>
      </x:c>
      <x:c r="H301" s="2" t="n">
        <x:f>IFERROR(E301/F301,0)</x:f>
        <x:v>0.6666666666666666</x:v>
      </x:c>
      <x:c r="I301" t="str">
        <x:v>Intermediário</x:v>
      </x:c>
      <x:c r="J301" t="str">
        <x:v>CAEd_DadosExportados.zip</x:v>
      </x:c>
    </x:row>
    <x:row r="302">
      <x:c r="A302" t="str">
        <x:v>1A018</x:v>
      </x:c>
      <x:c r="B302" t="str">
        <x:v>1º ano</x:v>
      </x:c>
      <x:c r="C302" t="str">
        <x:v>referencia</x:v>
      </x:c>
      <x:c r="D302" t="str">
        <x:v>H03</x:v>
      </x:c>
      <x:c r="E302" t="n">
        <x:v>2</x:v>
      </x:c>
      <x:c r="F302" t="n">
        <x:v>3</x:v>
      </x:c>
      <x:c r="G302" t="n">
        <x:f>F302-E302</x:f>
        <x:v>1</x:v>
      </x:c>
      <x:c r="H302" s="2" t="n">
        <x:f>IFERROR(E302/F302,0)</x:f>
        <x:v>0.6666666666666666</x:v>
      </x:c>
      <x:c r="I302" t="str">
        <x:v>Intermediário</x:v>
      </x:c>
      <x:c r="J302" t="str">
        <x:v>CAEd_DadosExportados.zip</x:v>
      </x:c>
    </x:row>
    <x:row r="303">
      <x:c r="A303" t="str">
        <x:v>1A018</x:v>
      </x:c>
      <x:c r="B303" t="str">
        <x:v>1º ano</x:v>
      </x:c>
      <x:c r="C303" t="str">
        <x:v>referencia</x:v>
      </x:c>
      <x:c r="D303" t="str">
        <x:v>H04</x:v>
      </x:c>
      <x:c r="E303" t="n">
        <x:v>0</x:v>
      </x:c>
      <x:c r="F303" t="n">
        <x:v>3</x:v>
      </x:c>
      <x:c r="G303" t="n">
        <x:f>F303-E303</x:f>
        <x:v>3</x:v>
      </x:c>
      <x:c r="H303" s="2" t="n">
        <x:f>IFERROR(E303/F303,0)</x:f>
        <x:v>0</x:v>
      </x:c>
      <x:c r="I303" t="str">
        <x:v>Intermediário</x:v>
      </x:c>
      <x:c r="J303" t="str">
        <x:v>CAEd_DadosExportados.zip</x:v>
      </x:c>
    </x:row>
    <x:row r="304">
      <x:c r="A304" t="str">
        <x:v>1A018</x:v>
      </x:c>
      <x:c r="B304" t="str">
        <x:v>1º ano</x:v>
      </x:c>
      <x:c r="C304" t="str">
        <x:v>referencia</x:v>
      </x:c>
      <x:c r="D304" t="str">
        <x:v>H05</x:v>
      </x:c>
      <x:c r="E304" t="n">
        <x:v>3</x:v>
      </x:c>
      <x:c r="F304" t="n">
        <x:v>3</x:v>
      </x:c>
      <x:c r="G304" t="n">
        <x:f>F304-E304</x:f>
        <x:v>0</x:v>
      </x:c>
      <x:c r="H304" s="2" t="n">
        <x:f>IFERROR(E304/F304,0)</x:f>
        <x:v>1</x:v>
      </x:c>
      <x:c r="I304" t="str">
        <x:v>Intermediário</x:v>
      </x:c>
      <x:c r="J304" t="str">
        <x:v>CAEd_DadosExportados.zip</x:v>
      </x:c>
    </x:row>
    <x:row r="305">
      <x:c r="A305" t="str">
        <x:v>1A018</x:v>
      </x:c>
      <x:c r="B305" t="str">
        <x:v>1º ano</x:v>
      </x:c>
      <x:c r="C305" t="str">
        <x:v>referencia</x:v>
      </x:c>
      <x:c r="D305" t="str">
        <x:v>H06</x:v>
      </x:c>
      <x:c r="E305" t="n">
        <x:v>1</x:v>
      </x:c>
      <x:c r="F305" t="n">
        <x:v>3</x:v>
      </x:c>
      <x:c r="G305" t="n">
        <x:f>F305-E305</x:f>
        <x:v>2</x:v>
      </x:c>
      <x:c r="H305" s="2" t="n">
        <x:f>IFERROR(E305/F305,0)</x:f>
        <x:v>0.3333333333333333</x:v>
      </x:c>
      <x:c r="I305" t="str">
        <x:v>Intermediário</x:v>
      </x:c>
      <x:c r="J305" t="str">
        <x:v>CAEd_DadosExportados.zip</x:v>
      </x:c>
    </x:row>
    <x:row r="306">
      <x:c r="A306" t="str">
        <x:v>1A018</x:v>
      </x:c>
      <x:c r="B306" t="str">
        <x:v>1º ano</x:v>
      </x:c>
      <x:c r="C306" t="str">
        <x:v>referencia</x:v>
      </x:c>
      <x:c r="D306" t="str">
        <x:v>H07</x:v>
      </x:c>
      <x:c r="E306" t="n">
        <x:v>0</x:v>
      </x:c>
      <x:c r="F306" t="n">
        <x:v>2</x:v>
      </x:c>
      <x:c r="G306" t="n">
        <x:f>F306-E306</x:f>
        <x:v>2</x:v>
      </x:c>
      <x:c r="H306" s="2" t="n">
        <x:f>IFERROR(E306/F306,0)</x:f>
        <x:v>0</x:v>
      </x:c>
      <x:c r="I306" t="str">
        <x:v>Intermediário</x:v>
      </x:c>
      <x:c r="J306" t="str">
        <x:v>CAEd_DadosExportados.zip</x:v>
      </x:c>
    </x:row>
    <x:row r="307">
      <x:c r="A307" t="str">
        <x:v>1A018</x:v>
      </x:c>
      <x:c r="B307" t="str">
        <x:v>1º ano</x:v>
      </x:c>
      <x:c r="C307" t="str">
        <x:v>referencia</x:v>
      </x:c>
      <x:c r="D307" t="str">
        <x:v>H08</x:v>
      </x:c>
      <x:c r="E307" t="n">
        <x:v>2</x:v>
      </x:c>
      <x:c r="F307" t="n">
        <x:v>2</x:v>
      </x:c>
      <x:c r="G307" t="n">
        <x:f>F307-E307</x:f>
        <x:v>0</x:v>
      </x:c>
      <x:c r="H307" s="2" t="n">
        <x:f>IFERROR(E307/F307,0)</x:f>
        <x:v>1</x:v>
      </x:c>
      <x:c r="I307" t="str">
        <x:v>Intermediário</x:v>
      </x:c>
      <x:c r="J307" t="str">
        <x:v>CAEd_DadosExportados.zip</x:v>
      </x:c>
    </x:row>
    <x:row r="308">
      <x:c r="A308" t="str">
        <x:v>1A019</x:v>
      </x:c>
      <x:c r="B308" t="str">
        <x:v>1º ano</x:v>
      </x:c>
      <x:c r="C308" t="str">
        <x:v>contraprova</x:v>
      </x:c>
      <x:c r="D308" t="str">
        <x:v>H01</x:v>
      </x:c>
      <x:c r="E308" t="n">
        <x:v>2</x:v>
      </x:c>
      <x:c r="F308" t="n">
        <x:v>2</x:v>
      </x:c>
      <x:c r="G308" t="n">
        <x:f>F308-E308</x:f>
        <x:v>0</x:v>
      </x:c>
      <x:c r="H308" s="2" t="n">
        <x:f>IFERROR(E308/F308,0)</x:f>
        <x:v>1</x:v>
      </x:c>
      <x:c r="I308" t="str">
        <x:v>Intermediário</x:v>
      </x:c>
      <x:c r="J308" t="str">
        <x:v>CAEd_DadosExportados (3).zip</x:v>
      </x:c>
    </x:row>
    <x:row r="309">
      <x:c r="A309" t="str">
        <x:v>1A019</x:v>
      </x:c>
      <x:c r="B309" t="str">
        <x:v>1º ano</x:v>
      </x:c>
      <x:c r="C309" t="str">
        <x:v>contraprova</x:v>
      </x:c>
      <x:c r="D309" t="str">
        <x:v>H02</x:v>
      </x:c>
      <x:c r="E309" t="n">
        <x:v>0</x:v>
      </x:c>
      <x:c r="F309" t="n">
        <x:v>2</x:v>
      </x:c>
      <x:c r="G309" t="n">
        <x:f>F309-E309</x:f>
        <x:v>2</x:v>
      </x:c>
      <x:c r="H309" s="2" t="n">
        <x:f>IFERROR(E309/F309,0)</x:f>
        <x:v>0</x:v>
      </x:c>
      <x:c r="I309" t="str">
        <x:v>Intermediário</x:v>
      </x:c>
      <x:c r="J309" t="str">
        <x:v>CAEd_DadosExportados (3).zip</x:v>
      </x:c>
    </x:row>
    <x:row r="310">
      <x:c r="A310" t="str">
        <x:v>1A019</x:v>
      </x:c>
      <x:c r="B310" t="str">
        <x:v>1º ano</x:v>
      </x:c>
      <x:c r="C310" t="str">
        <x:v>contraprova</x:v>
      </x:c>
      <x:c r="D310" t="str">
        <x:v>H03</x:v>
      </x:c>
      <x:c r="E310" t="n">
        <x:v>3</x:v>
      </x:c>
      <x:c r="F310" t="n">
        <x:v>3</x:v>
      </x:c>
      <x:c r="G310" t="n">
        <x:f>F310-E310</x:f>
        <x:v>0</x:v>
      </x:c>
      <x:c r="H310" s="2" t="n">
        <x:f>IFERROR(E310/F310,0)</x:f>
        <x:v>1</x:v>
      </x:c>
      <x:c r="I310" t="str">
        <x:v>Intermediário</x:v>
      </x:c>
      <x:c r="J310" t="str">
        <x:v>CAEd_DadosExportados (3).zip</x:v>
      </x:c>
    </x:row>
    <x:row r="311">
      <x:c r="A311" t="str">
        <x:v>1A019</x:v>
      </x:c>
      <x:c r="B311" t="str">
        <x:v>1º ano</x:v>
      </x:c>
      <x:c r="C311" t="str">
        <x:v>contraprova</x:v>
      </x:c>
      <x:c r="D311" t="str">
        <x:v>H04</x:v>
      </x:c>
      <x:c r="E311" t="n">
        <x:v>2</x:v>
      </x:c>
      <x:c r="F311" t="n">
        <x:v>3</x:v>
      </x:c>
      <x:c r="G311" t="n">
        <x:f>F311-E311</x:f>
        <x:v>1</x:v>
      </x:c>
      <x:c r="H311" s="2" t="n">
        <x:f>IFERROR(E311/F311,0)</x:f>
        <x:v>0.6666666666666666</x:v>
      </x:c>
      <x:c r="I311" t="str">
        <x:v>Intermediário</x:v>
      </x:c>
      <x:c r="J311" t="str">
        <x:v>CAEd_DadosExportados (3).zip</x:v>
      </x:c>
    </x:row>
    <x:row r="312">
      <x:c r="A312" t="str">
        <x:v>1A019</x:v>
      </x:c>
      <x:c r="B312" t="str">
        <x:v>1º ano</x:v>
      </x:c>
      <x:c r="C312" t="str">
        <x:v>contraprova</x:v>
      </x:c>
      <x:c r="D312" t="str">
        <x:v>H05</x:v>
      </x:c>
      <x:c r="E312" t="n">
        <x:v>1</x:v>
      </x:c>
      <x:c r="F312" t="n">
        <x:v>3</x:v>
      </x:c>
      <x:c r="G312" t="n">
        <x:f>F312-E312</x:f>
        <x:v>2</x:v>
      </x:c>
      <x:c r="H312" s="2" t="n">
        <x:f>IFERROR(E312/F312,0)</x:f>
        <x:v>0.3333333333333333</x:v>
      </x:c>
      <x:c r="I312" t="str">
        <x:v>Intermediário</x:v>
      </x:c>
      <x:c r="J312" t="str">
        <x:v>CAEd_DadosExportados (3).zip</x:v>
      </x:c>
    </x:row>
    <x:row r="313">
      <x:c r="A313" t="str">
        <x:v>1A019</x:v>
      </x:c>
      <x:c r="B313" t="str">
        <x:v>1º ano</x:v>
      </x:c>
      <x:c r="C313" t="str">
        <x:v>contraprova</x:v>
      </x:c>
      <x:c r="D313" t="str">
        <x:v>H06</x:v>
      </x:c>
      <x:c r="E313" t="n">
        <x:v>3</x:v>
      </x:c>
      <x:c r="F313" t="n">
        <x:v>3</x:v>
      </x:c>
      <x:c r="G313" t="n">
        <x:f>F313-E313</x:f>
        <x:v>0</x:v>
      </x:c>
      <x:c r="H313" s="2" t="n">
        <x:f>IFERROR(E313/F313,0)</x:f>
        <x:v>1</x:v>
      </x:c>
      <x:c r="I313" t="str">
        <x:v>Intermediário</x:v>
      </x:c>
      <x:c r="J313" t="str">
        <x:v>CAEd_DadosExportados (3).zip</x:v>
      </x:c>
    </x:row>
    <x:row r="314">
      <x:c r="A314" t="str">
        <x:v>1A019</x:v>
      </x:c>
      <x:c r="B314" t="str">
        <x:v>1º ano</x:v>
      </x:c>
      <x:c r="C314" t="str">
        <x:v>contraprova</x:v>
      </x:c>
      <x:c r="D314" t="str">
        <x:v>H07</x:v>
      </x:c>
      <x:c r="E314" t="n">
        <x:v>2</x:v>
      </x:c>
      <x:c r="F314" t="n">
        <x:v>2</x:v>
      </x:c>
      <x:c r="G314" t="n">
        <x:f>F314-E314</x:f>
        <x:v>0</x:v>
      </x:c>
      <x:c r="H314" s="2" t="n">
        <x:f>IFERROR(E314/F314,0)</x:f>
        <x:v>1</x:v>
      </x:c>
      <x:c r="I314" t="str">
        <x:v>Intermediário</x:v>
      </x:c>
      <x:c r="J314" t="str">
        <x:v>CAEd_DadosExportados (3).zip</x:v>
      </x:c>
    </x:row>
    <x:row r="315">
      <x:c r="A315" t="str">
        <x:v>1A019</x:v>
      </x:c>
      <x:c r="B315" t="str">
        <x:v>1º ano</x:v>
      </x:c>
      <x:c r="C315" t="str">
        <x:v>contraprova</x:v>
      </x:c>
      <x:c r="D315" t="str">
        <x:v>H08</x:v>
      </x:c>
      <x:c r="E315" t="n">
        <x:v>0</x:v>
      </x:c>
      <x:c r="F315" t="n">
        <x:v>2</x:v>
      </x:c>
      <x:c r="G315" t="n">
        <x:f>F315-E315</x:f>
        <x:v>2</x:v>
      </x:c>
      <x:c r="H315" s="2" t="n">
        <x:f>IFERROR(E315/F315,0)</x:f>
        <x:v>0</x:v>
      </x:c>
      <x:c r="I315" t="str">
        <x:v>Intermediário</x:v>
      </x:c>
      <x:c r="J315" t="str">
        <x:v>CAEd_DadosExportados (3).zip</x:v>
      </x:c>
    </x:row>
    <x:row r="316">
      <x:c r="A316" t="str">
        <x:v>1A019</x:v>
      </x:c>
      <x:c r="B316" t="str">
        <x:v>1º ano</x:v>
      </x:c>
      <x:c r="C316" t="str">
        <x:v>contraprova</x:v>
      </x:c>
      <x:c r="D316" t="str">
        <x:v>H09</x:v>
      </x:c>
      <x:c r="E316" t="n">
        <x:v>2</x:v>
      </x:c>
      <x:c r="F316" t="n">
        <x:v>2</x:v>
      </x:c>
      <x:c r="G316" t="n">
        <x:f>F316-E316</x:f>
        <x:v>0</x:v>
      </x:c>
      <x:c r="H316" s="2" t="n">
        <x:f>IFERROR(E316/F316,0)</x:f>
        <x:v>1</x:v>
      </x:c>
      <x:c r="I316" t="str">
        <x:v>Intermediário</x:v>
      </x:c>
      <x:c r="J316" t="str">
        <x:v>CAEd_DadosExportados (3).zip</x:v>
      </x:c>
    </x:row>
    <x:row r="317">
      <x:c r="A317" t="str">
        <x:v>1A019</x:v>
      </x:c>
      <x:c r="B317" t="str">
        <x:v>1º ano</x:v>
      </x:c>
      <x:c r="C317" t="str">
        <x:v>referencia</x:v>
      </x:c>
      <x:c r="D317" t="str">
        <x:v>H01</x:v>
      </x:c>
      <x:c r="E317" t="n">
        <x:v>2</x:v>
      </x:c>
      <x:c r="F317" t="n">
        <x:v>3</x:v>
      </x:c>
      <x:c r="G317" t="n">
        <x:f>F317-E317</x:f>
        <x:v>1</x:v>
      </x:c>
      <x:c r="H317" s="2" t="n">
        <x:f>IFERROR(E317/F317,0)</x:f>
        <x:v>0.6666666666666666</x:v>
      </x:c>
      <x:c r="I317" t="str">
        <x:v>Adequado</x:v>
      </x:c>
      <x:c r="J317" t="str">
        <x:v>CAEd_DadosExportados.zip</x:v>
      </x:c>
    </x:row>
    <x:row r="318">
      <x:c r="A318" t="str">
        <x:v>1A019</x:v>
      </x:c>
      <x:c r="B318" t="str">
        <x:v>1º ano</x:v>
      </x:c>
      <x:c r="C318" t="str">
        <x:v>referencia</x:v>
      </x:c>
      <x:c r="D318" t="str">
        <x:v>H02</x:v>
      </x:c>
      <x:c r="E318" t="n">
        <x:v>2</x:v>
      </x:c>
      <x:c r="F318" t="n">
        <x:v>3</x:v>
      </x:c>
      <x:c r="G318" t="n">
        <x:f>F318-E318</x:f>
        <x:v>1</x:v>
      </x:c>
      <x:c r="H318" s="2" t="n">
        <x:f>IFERROR(E318/F318,0)</x:f>
        <x:v>0.6666666666666666</x:v>
      </x:c>
      <x:c r="I318" t="str">
        <x:v>Adequado</x:v>
      </x:c>
      <x:c r="J318" t="str">
        <x:v>CAEd_DadosExportados.zip</x:v>
      </x:c>
    </x:row>
    <x:row r="319">
      <x:c r="A319" t="str">
        <x:v>1A019</x:v>
      </x:c>
      <x:c r="B319" t="str">
        <x:v>1º ano</x:v>
      </x:c>
      <x:c r="C319" t="str">
        <x:v>referencia</x:v>
      </x:c>
      <x:c r="D319" t="str">
        <x:v>H03</x:v>
      </x:c>
      <x:c r="E319" t="n">
        <x:v>2</x:v>
      </x:c>
      <x:c r="F319" t="n">
        <x:v>3</x:v>
      </x:c>
      <x:c r="G319" t="n">
        <x:f>F319-E319</x:f>
        <x:v>1</x:v>
      </x:c>
      <x:c r="H319" s="2" t="n">
        <x:f>IFERROR(E319/F319,0)</x:f>
        <x:v>0.6666666666666666</x:v>
      </x:c>
      <x:c r="I319" t="str">
        <x:v>Adequado</x:v>
      </x:c>
      <x:c r="J319" t="str">
        <x:v>CAEd_DadosExportados.zip</x:v>
      </x:c>
    </x:row>
    <x:row r="320">
      <x:c r="A320" t="str">
        <x:v>1A019</x:v>
      </x:c>
      <x:c r="B320" t="str">
        <x:v>1º ano</x:v>
      </x:c>
      <x:c r="C320" t="str">
        <x:v>referencia</x:v>
      </x:c>
      <x:c r="D320" t="str">
        <x:v>H04</x:v>
      </x:c>
      <x:c r="E320" t="n">
        <x:v>1</x:v>
      </x:c>
      <x:c r="F320" t="n">
        <x:v>3</x:v>
      </x:c>
      <x:c r="G320" t="n">
        <x:f>F320-E320</x:f>
        <x:v>2</x:v>
      </x:c>
      <x:c r="H320" s="2" t="n">
        <x:f>IFERROR(E320/F320,0)</x:f>
        <x:v>0.3333333333333333</x:v>
      </x:c>
      <x:c r="I320" t="str">
        <x:v>Adequado</x:v>
      </x:c>
      <x:c r="J320" t="str">
        <x:v>CAEd_DadosExportados.zip</x:v>
      </x:c>
    </x:row>
    <x:row r="321">
      <x:c r="A321" t="str">
        <x:v>1A019</x:v>
      </x:c>
      <x:c r="B321" t="str">
        <x:v>1º ano</x:v>
      </x:c>
      <x:c r="C321" t="str">
        <x:v>referencia</x:v>
      </x:c>
      <x:c r="D321" t="str">
        <x:v>H05</x:v>
      </x:c>
      <x:c r="E321" t="n">
        <x:v>3</x:v>
      </x:c>
      <x:c r="F321" t="n">
        <x:v>3</x:v>
      </x:c>
      <x:c r="G321" t="n">
        <x:f>F321-E321</x:f>
        <x:v>0</x:v>
      </x:c>
      <x:c r="H321" s="2" t="n">
        <x:f>IFERROR(E321/F321,0)</x:f>
        <x:v>1</x:v>
      </x:c>
      <x:c r="I321" t="str">
        <x:v>Adequado</x:v>
      </x:c>
      <x:c r="J321" t="str">
        <x:v>CAEd_DadosExportados.zip</x:v>
      </x:c>
    </x:row>
    <x:row r="322">
      <x:c r="A322" t="str">
        <x:v>1A019</x:v>
      </x:c>
      <x:c r="B322" t="str">
        <x:v>1º ano</x:v>
      </x:c>
      <x:c r="C322" t="str">
        <x:v>referencia</x:v>
      </x:c>
      <x:c r="D322" t="str">
        <x:v>H06</x:v>
      </x:c>
      <x:c r="E322" t="n">
        <x:v>3</x:v>
      </x:c>
      <x:c r="F322" t="n">
        <x:v>3</x:v>
      </x:c>
      <x:c r="G322" t="n">
        <x:f>F322-E322</x:f>
        <x:v>0</x:v>
      </x:c>
      <x:c r="H322" s="2" t="n">
        <x:f>IFERROR(E322/F322,0)</x:f>
        <x:v>1</x:v>
      </x:c>
      <x:c r="I322" t="str">
        <x:v>Adequado</x:v>
      </x:c>
      <x:c r="J322" t="str">
        <x:v>CAEd_DadosExportados.zip</x:v>
      </x:c>
    </x:row>
    <x:row r="323">
      <x:c r="A323" t="str">
        <x:v>1A019</x:v>
      </x:c>
      <x:c r="B323" t="str">
        <x:v>1º ano</x:v>
      </x:c>
      <x:c r="C323" t="str">
        <x:v>referencia</x:v>
      </x:c>
      <x:c r="D323" t="str">
        <x:v>H07</x:v>
      </x:c>
      <x:c r="E323" t="n">
        <x:v>1</x:v>
      </x:c>
      <x:c r="F323" t="n">
        <x:v>2</x:v>
      </x:c>
      <x:c r="G323" t="n">
        <x:f>F323-E323</x:f>
        <x:v>1</x:v>
      </x:c>
      <x:c r="H323" s="2" t="n">
        <x:f>IFERROR(E323/F323,0)</x:f>
        <x:v>0.5</x:v>
      </x:c>
      <x:c r="I323" t="str">
        <x:v>Adequado</x:v>
      </x:c>
      <x:c r="J323" t="str">
        <x:v>CAEd_DadosExportados.zip</x:v>
      </x:c>
    </x:row>
    <x:row r="324">
      <x:c r="A324" t="str">
        <x:v>1A019</x:v>
      </x:c>
      <x:c r="B324" t="str">
        <x:v>1º ano</x:v>
      </x:c>
      <x:c r="C324" t="str">
        <x:v>referencia</x:v>
      </x:c>
      <x:c r="D324" t="str">
        <x:v>H08</x:v>
      </x:c>
      <x:c r="E324" t="n">
        <x:v>2</x:v>
      </x:c>
      <x:c r="F324" t="n">
        <x:v>2</x:v>
      </x:c>
      <x:c r="G324" t="n">
        <x:f>F324-E324</x:f>
        <x:v>0</x:v>
      </x:c>
      <x:c r="H324" s="2" t="n">
        <x:f>IFERROR(E324/F324,0)</x:f>
        <x:v>1</x:v>
      </x:c>
      <x:c r="I324" t="str">
        <x:v>Adequado</x:v>
      </x:c>
      <x:c r="J324" t="str">
        <x:v>CAEd_DadosExportados.zip</x:v>
      </x:c>
    </x:row>
    <x:row r="325">
      <x:c r="A325" t="str">
        <x:v>1A020</x:v>
      </x:c>
      <x:c r="B325" t="str">
        <x:v>1º ano</x:v>
      </x:c>
      <x:c r="C325" t="str">
        <x:v>contraprova</x:v>
      </x:c>
      <x:c r="D325" t="str">
        <x:v>H01</x:v>
      </x:c>
      <x:c r="E325" t="n">
        <x:v>1</x:v>
      </x:c>
      <x:c r="F325" t="n">
        <x:v>2</x:v>
      </x:c>
      <x:c r="G325" t="n">
        <x:f>F325-E325</x:f>
        <x:v>1</x:v>
      </x:c>
      <x:c r="H325" s="2" t="n">
        <x:f>IFERROR(E325/F325,0)</x:f>
        <x:v>0.5</x:v>
      </x:c>
      <x:c r="I325" t="str">
        <x:v>Intermediário</x:v>
      </x:c>
      <x:c r="J325" t="str">
        <x:v>CAEd_DadosExportados (3).zip</x:v>
      </x:c>
    </x:row>
    <x:row r="326">
      <x:c r="A326" t="str">
        <x:v>1A020</x:v>
      </x:c>
      <x:c r="B326" t="str">
        <x:v>1º ano</x:v>
      </x:c>
      <x:c r="C326" t="str">
        <x:v>contraprova</x:v>
      </x:c>
      <x:c r="D326" t="str">
        <x:v>H02</x:v>
      </x:c>
      <x:c r="E326" t="n">
        <x:v>2</x:v>
      </x:c>
      <x:c r="F326" t="n">
        <x:v>2</x:v>
      </x:c>
      <x:c r="G326" t="n">
        <x:f>F326-E326</x:f>
        <x:v>0</x:v>
      </x:c>
      <x:c r="H326" s="2" t="n">
        <x:f>IFERROR(E326/F326,0)</x:f>
        <x:v>1</x:v>
      </x:c>
      <x:c r="I326" t="str">
        <x:v>Intermediário</x:v>
      </x:c>
      <x:c r="J326" t="str">
        <x:v>CAEd_DadosExportados (3).zip</x:v>
      </x:c>
    </x:row>
    <x:row r="327">
      <x:c r="A327" t="str">
        <x:v>1A020</x:v>
      </x:c>
      <x:c r="B327" t="str">
        <x:v>1º ano</x:v>
      </x:c>
      <x:c r="C327" t="str">
        <x:v>contraprova</x:v>
      </x:c>
      <x:c r="D327" t="str">
        <x:v>H03</x:v>
      </x:c>
      <x:c r="E327" t="n">
        <x:v>2</x:v>
      </x:c>
      <x:c r="F327" t="n">
        <x:v>3</x:v>
      </x:c>
      <x:c r="G327" t="n">
        <x:f>F327-E327</x:f>
        <x:v>1</x:v>
      </x:c>
      <x:c r="H327" s="2" t="n">
        <x:f>IFERROR(E327/F327,0)</x:f>
        <x:v>0.6666666666666666</x:v>
      </x:c>
      <x:c r="I327" t="str">
        <x:v>Intermediário</x:v>
      </x:c>
      <x:c r="J327" t="str">
        <x:v>CAEd_DadosExportados (3).zip</x:v>
      </x:c>
    </x:row>
    <x:row r="328">
      <x:c r="A328" t="str">
        <x:v>1A020</x:v>
      </x:c>
      <x:c r="B328" t="str">
        <x:v>1º ano</x:v>
      </x:c>
      <x:c r="C328" t="str">
        <x:v>contraprova</x:v>
      </x:c>
      <x:c r="D328" t="str">
        <x:v>H04</x:v>
      </x:c>
      <x:c r="E328" t="n">
        <x:v>2</x:v>
      </x:c>
      <x:c r="F328" t="n">
        <x:v>3</x:v>
      </x:c>
      <x:c r="G328" t="n">
        <x:f>F328-E328</x:f>
        <x:v>1</x:v>
      </x:c>
      <x:c r="H328" s="2" t="n">
        <x:f>IFERROR(E328/F328,0)</x:f>
        <x:v>0.6666666666666666</x:v>
      </x:c>
      <x:c r="I328" t="str">
        <x:v>Intermediário</x:v>
      </x:c>
      <x:c r="J328" t="str">
        <x:v>CAEd_DadosExportados (3).zip</x:v>
      </x:c>
    </x:row>
    <x:row r="329">
      <x:c r="A329" t="str">
        <x:v>1A020</x:v>
      </x:c>
      <x:c r="B329" t="str">
        <x:v>1º ano</x:v>
      </x:c>
      <x:c r="C329" t="str">
        <x:v>contraprova</x:v>
      </x:c>
      <x:c r="D329" t="str">
        <x:v>H05</x:v>
      </x:c>
      <x:c r="E329" t="n">
        <x:v>2</x:v>
      </x:c>
      <x:c r="F329" t="n">
        <x:v>3</x:v>
      </x:c>
      <x:c r="G329" t="n">
        <x:f>F329-E329</x:f>
        <x:v>1</x:v>
      </x:c>
      <x:c r="H329" s="2" t="n">
        <x:f>IFERROR(E329/F329,0)</x:f>
        <x:v>0.6666666666666666</x:v>
      </x:c>
      <x:c r="I329" t="str">
        <x:v>Intermediário</x:v>
      </x:c>
      <x:c r="J329" t="str">
        <x:v>CAEd_DadosExportados (3).zip</x:v>
      </x:c>
    </x:row>
    <x:row r="330">
      <x:c r="A330" t="str">
        <x:v>1A020</x:v>
      </x:c>
      <x:c r="B330" t="str">
        <x:v>1º ano</x:v>
      </x:c>
      <x:c r="C330" t="str">
        <x:v>contraprova</x:v>
      </x:c>
      <x:c r="D330" t="str">
        <x:v>H06</x:v>
      </x:c>
      <x:c r="E330" t="n">
        <x:v>3</x:v>
      </x:c>
      <x:c r="F330" t="n">
        <x:v>3</x:v>
      </x:c>
      <x:c r="G330" t="n">
        <x:f>F330-E330</x:f>
        <x:v>0</x:v>
      </x:c>
      <x:c r="H330" s="2" t="n">
        <x:f>IFERROR(E330/F330,0)</x:f>
        <x:v>1</x:v>
      </x:c>
      <x:c r="I330" t="str">
        <x:v>Intermediário</x:v>
      </x:c>
      <x:c r="J330" t="str">
        <x:v>CAEd_DadosExportados (3).zip</x:v>
      </x:c>
    </x:row>
    <x:row r="331">
      <x:c r="A331" t="str">
        <x:v>1A020</x:v>
      </x:c>
      <x:c r="B331" t="str">
        <x:v>1º ano</x:v>
      </x:c>
      <x:c r="C331" t="str">
        <x:v>contraprova</x:v>
      </x:c>
      <x:c r="D331" t="str">
        <x:v>H07</x:v>
      </x:c>
      <x:c r="E331" t="n">
        <x:v>0</x:v>
      </x:c>
      <x:c r="F331" t="n">
        <x:v>2</x:v>
      </x:c>
      <x:c r="G331" t="n">
        <x:f>F331-E331</x:f>
        <x:v>2</x:v>
      </x:c>
      <x:c r="H331" s="2" t="n">
        <x:f>IFERROR(E331/F331,0)</x:f>
        <x:v>0</x:v>
      </x:c>
      <x:c r="I331" t="str">
        <x:v>Intermediário</x:v>
      </x:c>
      <x:c r="J331" t="str">
        <x:v>CAEd_DadosExportados (3).zip</x:v>
      </x:c>
    </x:row>
    <x:row r="332">
      <x:c r="A332" t="str">
        <x:v>1A020</x:v>
      </x:c>
      <x:c r="B332" t="str">
        <x:v>1º ano</x:v>
      </x:c>
      <x:c r="C332" t="str">
        <x:v>contraprova</x:v>
      </x:c>
      <x:c r="D332" t="str">
        <x:v>H08</x:v>
      </x:c>
      <x:c r="E332" t="n">
        <x:v>2</x:v>
      </x:c>
      <x:c r="F332" t="n">
        <x:v>2</x:v>
      </x:c>
      <x:c r="G332" t="n">
        <x:f>F332-E332</x:f>
        <x:v>0</x:v>
      </x:c>
      <x:c r="H332" s="2" t="n">
        <x:f>IFERROR(E332/F332,0)</x:f>
        <x:v>1</x:v>
      </x:c>
      <x:c r="I332" t="str">
        <x:v>Intermediário</x:v>
      </x:c>
      <x:c r="J332" t="str">
        <x:v>CAEd_DadosExportados (3).zip</x:v>
      </x:c>
    </x:row>
    <x:row r="333">
      <x:c r="A333" t="str">
        <x:v>1A020</x:v>
      </x:c>
      <x:c r="B333" t="str">
        <x:v>1º ano</x:v>
      </x:c>
      <x:c r="C333" t="str">
        <x:v>contraprova</x:v>
      </x:c>
      <x:c r="D333" t="str">
        <x:v>H09</x:v>
      </x:c>
      <x:c r="E333" t="n">
        <x:v>2</x:v>
      </x:c>
      <x:c r="F333" t="n">
        <x:v>2</x:v>
      </x:c>
      <x:c r="G333" t="n">
        <x:f>F333-E333</x:f>
        <x:v>0</x:v>
      </x:c>
      <x:c r="H333" s="2" t="n">
        <x:f>IFERROR(E333/F333,0)</x:f>
        <x:v>1</x:v>
      </x:c>
      <x:c r="I333" t="str">
        <x:v>Intermediário</x:v>
      </x:c>
      <x:c r="J333" t="str">
        <x:v>CAEd_DadosExportados (3).zip</x:v>
      </x:c>
    </x:row>
    <x:row r="334">
      <x:c r="A334" t="str">
        <x:v>1A020</x:v>
      </x:c>
      <x:c r="B334" t="str">
        <x:v>1º ano</x:v>
      </x:c>
      <x:c r="C334" t="str">
        <x:v>referencia</x:v>
      </x:c>
      <x:c r="D334" t="str">
        <x:v>H01</x:v>
      </x:c>
      <x:c r="E334" t="n">
        <x:v>3</x:v>
      </x:c>
      <x:c r="F334" t="n">
        <x:v>3</x:v>
      </x:c>
      <x:c r="G334" t="n">
        <x:f>F334-E334</x:f>
        <x:v>0</x:v>
      </x:c>
      <x:c r="H334" s="2" t="n">
        <x:f>IFERROR(E334/F334,0)</x:f>
        <x:v>1</x:v>
      </x:c>
      <x:c r="I334" t="str">
        <x:v>Adequado</x:v>
      </x:c>
      <x:c r="J334" t="str">
        <x:v>CAEd_DadosExportados.zip</x:v>
      </x:c>
    </x:row>
    <x:row r="335">
      <x:c r="A335" t="str">
        <x:v>1A020</x:v>
      </x:c>
      <x:c r="B335" t="str">
        <x:v>1º ano</x:v>
      </x:c>
      <x:c r="C335" t="str">
        <x:v>referencia</x:v>
      </x:c>
      <x:c r="D335" t="str">
        <x:v>H02</x:v>
      </x:c>
      <x:c r="E335" t="n">
        <x:v>2</x:v>
      </x:c>
      <x:c r="F335" t="n">
        <x:v>3</x:v>
      </x:c>
      <x:c r="G335" t="n">
        <x:f>F335-E335</x:f>
        <x:v>1</x:v>
      </x:c>
      <x:c r="H335" s="2" t="n">
        <x:f>IFERROR(E335/F335,0)</x:f>
        <x:v>0.6666666666666666</x:v>
      </x:c>
      <x:c r="I335" t="str">
        <x:v>Adequado</x:v>
      </x:c>
      <x:c r="J335" t="str">
        <x:v>CAEd_DadosExportados.zip</x:v>
      </x:c>
    </x:row>
    <x:row r="336">
      <x:c r="A336" t="str">
        <x:v>1A020</x:v>
      </x:c>
      <x:c r="B336" t="str">
        <x:v>1º ano</x:v>
      </x:c>
      <x:c r="C336" t="str">
        <x:v>referencia</x:v>
      </x:c>
      <x:c r="D336" t="str">
        <x:v>H03</x:v>
      </x:c>
      <x:c r="E336" t="n">
        <x:v>3</x:v>
      </x:c>
      <x:c r="F336" t="n">
        <x:v>3</x:v>
      </x:c>
      <x:c r="G336" t="n">
        <x:f>F336-E336</x:f>
        <x:v>0</x:v>
      </x:c>
      <x:c r="H336" s="2" t="n">
        <x:f>IFERROR(E336/F336,0)</x:f>
        <x:v>1</x:v>
      </x:c>
      <x:c r="I336" t="str">
        <x:v>Adequado</x:v>
      </x:c>
      <x:c r="J336" t="str">
        <x:v>CAEd_DadosExportados.zip</x:v>
      </x:c>
    </x:row>
    <x:row r="337">
      <x:c r="A337" t="str">
        <x:v>1A020</x:v>
      </x:c>
      <x:c r="B337" t="str">
        <x:v>1º ano</x:v>
      </x:c>
      <x:c r="C337" t="str">
        <x:v>referencia</x:v>
      </x:c>
      <x:c r="D337" t="str">
        <x:v>H04</x:v>
      </x:c>
      <x:c r="E337" t="n">
        <x:v>2</x:v>
      </x:c>
      <x:c r="F337" t="n">
        <x:v>3</x:v>
      </x:c>
      <x:c r="G337" t="n">
        <x:f>F337-E337</x:f>
        <x:v>1</x:v>
      </x:c>
      <x:c r="H337" s="2" t="n">
        <x:f>IFERROR(E337/F337,0)</x:f>
        <x:v>0.6666666666666666</x:v>
      </x:c>
      <x:c r="I337" t="str">
        <x:v>Adequado</x:v>
      </x:c>
      <x:c r="J337" t="str">
        <x:v>CAEd_DadosExportados.zip</x:v>
      </x:c>
    </x:row>
    <x:row r="338">
      <x:c r="A338" t="str">
        <x:v>1A020</x:v>
      </x:c>
      <x:c r="B338" t="str">
        <x:v>1º ano</x:v>
      </x:c>
      <x:c r="C338" t="str">
        <x:v>referencia</x:v>
      </x:c>
      <x:c r="D338" t="str">
        <x:v>H05</x:v>
      </x:c>
      <x:c r="E338" t="n">
        <x:v>3</x:v>
      </x:c>
      <x:c r="F338" t="n">
        <x:v>3</x:v>
      </x:c>
      <x:c r="G338" t="n">
        <x:f>F338-E338</x:f>
        <x:v>0</x:v>
      </x:c>
      <x:c r="H338" s="2" t="n">
        <x:f>IFERROR(E338/F338,0)</x:f>
        <x:v>1</x:v>
      </x:c>
      <x:c r="I338" t="str">
        <x:v>Adequado</x:v>
      </x:c>
      <x:c r="J338" t="str">
        <x:v>CAEd_DadosExportados.zip</x:v>
      </x:c>
    </x:row>
    <x:row r="339">
      <x:c r="A339" t="str">
        <x:v>1A020</x:v>
      </x:c>
      <x:c r="B339" t="str">
        <x:v>1º ano</x:v>
      </x:c>
      <x:c r="C339" t="str">
        <x:v>referencia</x:v>
      </x:c>
      <x:c r="D339" t="str">
        <x:v>H06</x:v>
      </x:c>
      <x:c r="E339" t="n">
        <x:v>3</x:v>
      </x:c>
      <x:c r="F339" t="n">
        <x:v>3</x:v>
      </x:c>
      <x:c r="G339" t="n">
        <x:f>F339-E339</x:f>
        <x:v>0</x:v>
      </x:c>
      <x:c r="H339" s="2" t="n">
        <x:f>IFERROR(E339/F339,0)</x:f>
        <x:v>1</x:v>
      </x:c>
      <x:c r="I339" t="str">
        <x:v>Adequado</x:v>
      </x:c>
      <x:c r="J339" t="str">
        <x:v>CAEd_DadosExportados.zip</x:v>
      </x:c>
    </x:row>
    <x:row r="340">
      <x:c r="A340" t="str">
        <x:v>1A020</x:v>
      </x:c>
      <x:c r="B340" t="str">
        <x:v>1º ano</x:v>
      </x:c>
      <x:c r="C340" t="str">
        <x:v>referencia</x:v>
      </x:c>
      <x:c r="D340" t="str">
        <x:v>H07</x:v>
      </x:c>
      <x:c r="E340" t="n">
        <x:v>2</x:v>
      </x:c>
      <x:c r="F340" t="n">
        <x:v>2</x:v>
      </x:c>
      <x:c r="G340" t="n">
        <x:f>F340-E340</x:f>
        <x:v>0</x:v>
      </x:c>
      <x:c r="H340" s="2" t="n">
        <x:f>IFERROR(E340/F340,0)</x:f>
        <x:v>1</x:v>
      </x:c>
      <x:c r="I340" t="str">
        <x:v>Adequado</x:v>
      </x:c>
      <x:c r="J340" t="str">
        <x:v>CAEd_DadosExportados.zip</x:v>
      </x:c>
    </x:row>
    <x:row r="341">
      <x:c r="A341" t="str">
        <x:v>1A020</x:v>
      </x:c>
      <x:c r="B341" t="str">
        <x:v>1º ano</x:v>
      </x:c>
      <x:c r="C341" t="str">
        <x:v>referencia</x:v>
      </x:c>
      <x:c r="D341" t="str">
        <x:v>H08</x:v>
      </x:c>
      <x:c r="E341" t="n">
        <x:v>2</x:v>
      </x:c>
      <x:c r="F341" t="n">
        <x:v>2</x:v>
      </x:c>
      <x:c r="G341" t="n">
        <x:f>F341-E341</x:f>
        <x:v>0</x:v>
      </x:c>
      <x:c r="H341" s="2" t="n">
        <x:f>IFERROR(E341/F341,0)</x:f>
        <x:v>1</x:v>
      </x:c>
      <x:c r="I341" t="str">
        <x:v>Adequado</x:v>
      </x:c>
      <x:c r="J341" t="str">
        <x:v>CAEd_DadosExportados.zip</x:v>
      </x:c>
    </x:row>
    <x:row r="342">
      <x:c r="A342" t="str">
        <x:v>1A021</x:v>
      </x:c>
      <x:c r="B342" t="str">
        <x:v>1º ano</x:v>
      </x:c>
      <x:c r="C342" t="str">
        <x:v>contraprova</x:v>
      </x:c>
      <x:c r="D342" t="str">
        <x:v>H01</x:v>
      </x:c>
      <x:c r="E342" t="n">
        <x:v>2</x:v>
      </x:c>
      <x:c r="F342" t="n">
        <x:v>2</x:v>
      </x:c>
      <x:c r="G342" t="n">
        <x:f>F342-E342</x:f>
        <x:v>0</x:v>
      </x:c>
      <x:c r="H342" s="2" t="n">
        <x:f>IFERROR(E342/F342,0)</x:f>
        <x:v>1</x:v>
      </x:c>
      <x:c r="I342" t="str">
        <x:v>Intermediário</x:v>
      </x:c>
      <x:c r="J342" t="str">
        <x:v>CAEd_DadosExportados (3).zip</x:v>
      </x:c>
    </x:row>
    <x:row r="343">
      <x:c r="A343" t="str">
        <x:v>1A021</x:v>
      </x:c>
      <x:c r="B343" t="str">
        <x:v>1º ano</x:v>
      </x:c>
      <x:c r="C343" t="str">
        <x:v>contraprova</x:v>
      </x:c>
      <x:c r="D343" t="str">
        <x:v>H02</x:v>
      </x:c>
      <x:c r="E343" t="n">
        <x:v>1</x:v>
      </x:c>
      <x:c r="F343" t="n">
        <x:v>2</x:v>
      </x:c>
      <x:c r="G343" t="n">
        <x:f>F343-E343</x:f>
        <x:v>1</x:v>
      </x:c>
      <x:c r="H343" s="2" t="n">
        <x:f>IFERROR(E343/F343,0)</x:f>
        <x:v>0.5</x:v>
      </x:c>
      <x:c r="I343" t="str">
        <x:v>Intermediário</x:v>
      </x:c>
      <x:c r="J343" t="str">
        <x:v>CAEd_DadosExportados (3).zip</x:v>
      </x:c>
    </x:row>
    <x:row r="344">
      <x:c r="A344" t="str">
        <x:v>1A021</x:v>
      </x:c>
      <x:c r="B344" t="str">
        <x:v>1º ano</x:v>
      </x:c>
      <x:c r="C344" t="str">
        <x:v>contraprova</x:v>
      </x:c>
      <x:c r="D344" t="str">
        <x:v>H03</x:v>
      </x:c>
      <x:c r="E344" t="n">
        <x:v>3</x:v>
      </x:c>
      <x:c r="F344" t="n">
        <x:v>3</x:v>
      </x:c>
      <x:c r="G344" t="n">
        <x:f>F344-E344</x:f>
        <x:v>0</x:v>
      </x:c>
      <x:c r="H344" s="2" t="n">
        <x:f>IFERROR(E344/F344,0)</x:f>
        <x:v>1</x:v>
      </x:c>
      <x:c r="I344" t="str">
        <x:v>Intermediário</x:v>
      </x:c>
      <x:c r="J344" t="str">
        <x:v>CAEd_DadosExportados (3).zip</x:v>
      </x:c>
    </x:row>
    <x:row r="345">
      <x:c r="A345" t="str">
        <x:v>1A021</x:v>
      </x:c>
      <x:c r="B345" t="str">
        <x:v>1º ano</x:v>
      </x:c>
      <x:c r="C345" t="str">
        <x:v>contraprova</x:v>
      </x:c>
      <x:c r="D345" t="str">
        <x:v>H04</x:v>
      </x:c>
      <x:c r="E345" t="n">
        <x:v>1</x:v>
      </x:c>
      <x:c r="F345" t="n">
        <x:v>3</x:v>
      </x:c>
      <x:c r="G345" t="n">
        <x:f>F345-E345</x:f>
        <x:v>2</x:v>
      </x:c>
      <x:c r="H345" s="2" t="n">
        <x:f>IFERROR(E345/F345,0)</x:f>
        <x:v>0.3333333333333333</x:v>
      </x:c>
      <x:c r="I345" t="str">
        <x:v>Intermediário</x:v>
      </x:c>
      <x:c r="J345" t="str">
        <x:v>CAEd_DadosExportados (3).zip</x:v>
      </x:c>
    </x:row>
    <x:row r="346">
      <x:c r="A346" t="str">
        <x:v>1A021</x:v>
      </x:c>
      <x:c r="B346" t="str">
        <x:v>1º ano</x:v>
      </x:c>
      <x:c r="C346" t="str">
        <x:v>contraprova</x:v>
      </x:c>
      <x:c r="D346" t="str">
        <x:v>H05</x:v>
      </x:c>
      <x:c r="E346" t="n">
        <x:v>1</x:v>
      </x:c>
      <x:c r="F346" t="n">
        <x:v>3</x:v>
      </x:c>
      <x:c r="G346" t="n">
        <x:f>F346-E346</x:f>
        <x:v>2</x:v>
      </x:c>
      <x:c r="H346" s="2" t="n">
        <x:f>IFERROR(E346/F346,0)</x:f>
        <x:v>0.3333333333333333</x:v>
      </x:c>
      <x:c r="I346" t="str">
        <x:v>Intermediário</x:v>
      </x:c>
      <x:c r="J346" t="str">
        <x:v>CAEd_DadosExportados (3).zip</x:v>
      </x:c>
    </x:row>
    <x:row r="347">
      <x:c r="A347" t="str">
        <x:v>1A021</x:v>
      </x:c>
      <x:c r="B347" t="str">
        <x:v>1º ano</x:v>
      </x:c>
      <x:c r="C347" t="str">
        <x:v>contraprova</x:v>
      </x:c>
      <x:c r="D347" t="str">
        <x:v>H06</x:v>
      </x:c>
      <x:c r="E347" t="n">
        <x:v>2</x:v>
      </x:c>
      <x:c r="F347" t="n">
        <x:v>3</x:v>
      </x:c>
      <x:c r="G347" t="n">
        <x:f>F347-E347</x:f>
        <x:v>1</x:v>
      </x:c>
      <x:c r="H347" s="2" t="n">
        <x:f>IFERROR(E347/F347,0)</x:f>
        <x:v>0.6666666666666666</x:v>
      </x:c>
      <x:c r="I347" t="str">
        <x:v>Intermediário</x:v>
      </x:c>
      <x:c r="J347" t="str">
        <x:v>CAEd_DadosExportados (3).zip</x:v>
      </x:c>
    </x:row>
    <x:row r="348">
      <x:c r="A348" t="str">
        <x:v>1A021</x:v>
      </x:c>
      <x:c r="B348" t="str">
        <x:v>1º ano</x:v>
      </x:c>
      <x:c r="C348" t="str">
        <x:v>contraprova</x:v>
      </x:c>
      <x:c r="D348" t="str">
        <x:v>H07</x:v>
      </x:c>
      <x:c r="E348" t="n">
        <x:v>1</x:v>
      </x:c>
      <x:c r="F348" t="n">
        <x:v>2</x:v>
      </x:c>
      <x:c r="G348" t="n">
        <x:f>F348-E348</x:f>
        <x:v>1</x:v>
      </x:c>
      <x:c r="H348" s="2" t="n">
        <x:f>IFERROR(E348/F348,0)</x:f>
        <x:v>0.5</x:v>
      </x:c>
      <x:c r="I348" t="str">
        <x:v>Intermediário</x:v>
      </x:c>
      <x:c r="J348" t="str">
        <x:v>CAEd_DadosExportados (3).zip</x:v>
      </x:c>
    </x:row>
    <x:row r="349">
      <x:c r="A349" t="str">
        <x:v>1A021</x:v>
      </x:c>
      <x:c r="B349" t="str">
        <x:v>1º ano</x:v>
      </x:c>
      <x:c r="C349" t="str">
        <x:v>contraprova</x:v>
      </x:c>
      <x:c r="D349" t="str">
        <x:v>H08</x:v>
      </x:c>
      <x:c r="E349" t="n">
        <x:v>1</x:v>
      </x:c>
      <x:c r="F349" t="n">
        <x:v>2</x:v>
      </x:c>
      <x:c r="G349" t="n">
        <x:f>F349-E349</x:f>
        <x:v>1</x:v>
      </x:c>
      <x:c r="H349" s="2" t="n">
        <x:f>IFERROR(E349/F349,0)</x:f>
        <x:v>0.5</x:v>
      </x:c>
      <x:c r="I349" t="str">
        <x:v>Intermediário</x:v>
      </x:c>
      <x:c r="J349" t="str">
        <x:v>CAEd_DadosExportados (3).zip</x:v>
      </x:c>
    </x:row>
    <x:row r="350">
      <x:c r="A350" t="str">
        <x:v>1A021</x:v>
      </x:c>
      <x:c r="B350" t="str">
        <x:v>1º ano</x:v>
      </x:c>
      <x:c r="C350" t="str">
        <x:v>contraprova</x:v>
      </x:c>
      <x:c r="D350" t="str">
        <x:v>H09</x:v>
      </x:c>
      <x:c r="E350" t="n">
        <x:v>2</x:v>
      </x:c>
      <x:c r="F350" t="n">
        <x:v>2</x:v>
      </x:c>
      <x:c r="G350" t="n">
        <x:f>F350-E350</x:f>
        <x:v>0</x:v>
      </x:c>
      <x:c r="H350" s="2" t="n">
        <x:f>IFERROR(E350/F350,0)</x:f>
        <x:v>1</x:v>
      </x:c>
      <x:c r="I350" t="str">
        <x:v>Intermediário</x:v>
      </x:c>
      <x:c r="J350" t="str">
        <x:v>CAEd_DadosExportados (3).zip</x:v>
      </x:c>
    </x:row>
    <x:row r="351">
      <x:c r="A351" t="str">
        <x:v>1A021</x:v>
      </x:c>
      <x:c r="B351" t="str">
        <x:v>1º ano</x:v>
      </x:c>
      <x:c r="C351" t="str">
        <x:v>referencia</x:v>
      </x:c>
      <x:c r="D351" t="str">
        <x:v>H01</x:v>
      </x:c>
      <x:c r="E351" t="n">
        <x:v>2</x:v>
      </x:c>
      <x:c r="F351" t="n">
        <x:v>3</x:v>
      </x:c>
      <x:c r="G351" t="n">
        <x:f>F351-E351</x:f>
        <x:v>1</x:v>
      </x:c>
      <x:c r="H351" s="2" t="n">
        <x:f>IFERROR(E351/F351,0)</x:f>
        <x:v>0.6666666666666666</x:v>
      </x:c>
      <x:c r="I351" t="str">
        <x:v>Intermediário</x:v>
      </x:c>
      <x:c r="J351" t="str">
        <x:v>CAEd_DadosExportados.zip</x:v>
      </x:c>
    </x:row>
    <x:row r="352">
      <x:c r="A352" t="str">
        <x:v>1A021</x:v>
      </x:c>
      <x:c r="B352" t="str">
        <x:v>1º ano</x:v>
      </x:c>
      <x:c r="C352" t="str">
        <x:v>referencia</x:v>
      </x:c>
      <x:c r="D352" t="str">
        <x:v>H02</x:v>
      </x:c>
      <x:c r="E352" t="n">
        <x:v>2</x:v>
      </x:c>
      <x:c r="F352" t="n">
        <x:v>3</x:v>
      </x:c>
      <x:c r="G352" t="n">
        <x:f>F352-E352</x:f>
        <x:v>1</x:v>
      </x:c>
      <x:c r="H352" s="2" t="n">
        <x:f>IFERROR(E352/F352,0)</x:f>
        <x:v>0.6666666666666666</x:v>
      </x:c>
      <x:c r="I352" t="str">
        <x:v>Intermediário</x:v>
      </x:c>
      <x:c r="J352" t="str">
        <x:v>CAEd_DadosExportados.zip</x:v>
      </x:c>
    </x:row>
    <x:row r="353">
      <x:c r="A353" t="str">
        <x:v>1A021</x:v>
      </x:c>
      <x:c r="B353" t="str">
        <x:v>1º ano</x:v>
      </x:c>
      <x:c r="C353" t="str">
        <x:v>referencia</x:v>
      </x:c>
      <x:c r="D353" t="str">
        <x:v>H03</x:v>
      </x:c>
      <x:c r="E353" t="n">
        <x:v>1</x:v>
      </x:c>
      <x:c r="F353" t="n">
        <x:v>3</x:v>
      </x:c>
      <x:c r="G353" t="n">
        <x:f>F353-E353</x:f>
        <x:v>2</x:v>
      </x:c>
      <x:c r="H353" s="2" t="n">
        <x:f>IFERROR(E353/F353,0)</x:f>
        <x:v>0.3333333333333333</x:v>
      </x:c>
      <x:c r="I353" t="str">
        <x:v>Intermediário</x:v>
      </x:c>
      <x:c r="J353" t="str">
        <x:v>CAEd_DadosExportados.zip</x:v>
      </x:c>
    </x:row>
    <x:row r="354">
      <x:c r="A354" t="str">
        <x:v>1A021</x:v>
      </x:c>
      <x:c r="B354" t="str">
        <x:v>1º ano</x:v>
      </x:c>
      <x:c r="C354" t="str">
        <x:v>referencia</x:v>
      </x:c>
      <x:c r="D354" t="str">
        <x:v>H04</x:v>
      </x:c>
      <x:c r="E354" t="n">
        <x:v>1</x:v>
      </x:c>
      <x:c r="F354" t="n">
        <x:v>3</x:v>
      </x:c>
      <x:c r="G354" t="n">
        <x:f>F354-E354</x:f>
        <x:v>2</x:v>
      </x:c>
      <x:c r="H354" s="2" t="n">
        <x:f>IFERROR(E354/F354,0)</x:f>
        <x:v>0.3333333333333333</x:v>
      </x:c>
      <x:c r="I354" t="str">
        <x:v>Intermediário</x:v>
      </x:c>
      <x:c r="J354" t="str">
        <x:v>CAEd_DadosExportados.zip</x:v>
      </x:c>
    </x:row>
    <x:row r="355">
      <x:c r="A355" t="str">
        <x:v>1A021</x:v>
      </x:c>
      <x:c r="B355" t="str">
        <x:v>1º ano</x:v>
      </x:c>
      <x:c r="C355" t="str">
        <x:v>referencia</x:v>
      </x:c>
      <x:c r="D355" t="str">
        <x:v>H05</x:v>
      </x:c>
      <x:c r="E355" t="n">
        <x:v>2</x:v>
      </x:c>
      <x:c r="F355" t="n">
        <x:v>3</x:v>
      </x:c>
      <x:c r="G355" t="n">
        <x:f>F355-E355</x:f>
        <x:v>1</x:v>
      </x:c>
      <x:c r="H355" s="2" t="n">
        <x:f>IFERROR(E355/F355,0)</x:f>
        <x:v>0.6666666666666666</x:v>
      </x:c>
      <x:c r="I355" t="str">
        <x:v>Intermediário</x:v>
      </x:c>
      <x:c r="J355" t="str">
        <x:v>CAEd_DadosExportados.zip</x:v>
      </x:c>
    </x:row>
    <x:row r="356">
      <x:c r="A356" t="str">
        <x:v>1A021</x:v>
      </x:c>
      <x:c r="B356" t="str">
        <x:v>1º ano</x:v>
      </x:c>
      <x:c r="C356" t="str">
        <x:v>referencia</x:v>
      </x:c>
      <x:c r="D356" t="str">
        <x:v>H06</x:v>
      </x:c>
      <x:c r="E356" t="n">
        <x:v>2</x:v>
      </x:c>
      <x:c r="F356" t="n">
        <x:v>3</x:v>
      </x:c>
      <x:c r="G356" t="n">
        <x:f>F356-E356</x:f>
        <x:v>1</x:v>
      </x:c>
      <x:c r="H356" s="2" t="n">
        <x:f>IFERROR(E356/F356,0)</x:f>
        <x:v>0.6666666666666666</x:v>
      </x:c>
      <x:c r="I356" t="str">
        <x:v>Intermediário</x:v>
      </x:c>
      <x:c r="J356" t="str">
        <x:v>CAEd_DadosExportados.zip</x:v>
      </x:c>
    </x:row>
    <x:row r="357">
      <x:c r="A357" t="str">
        <x:v>1A021</x:v>
      </x:c>
      <x:c r="B357" t="str">
        <x:v>1º ano</x:v>
      </x:c>
      <x:c r="C357" t="str">
        <x:v>referencia</x:v>
      </x:c>
      <x:c r="D357" t="str">
        <x:v>H07</x:v>
      </x:c>
      <x:c r="E357" t="n">
        <x:v>1</x:v>
      </x:c>
      <x:c r="F357" t="n">
        <x:v>2</x:v>
      </x:c>
      <x:c r="G357" t="n">
        <x:f>F357-E357</x:f>
        <x:v>1</x:v>
      </x:c>
      <x:c r="H357" s="2" t="n">
        <x:f>IFERROR(E357/F357,0)</x:f>
        <x:v>0.5</x:v>
      </x:c>
      <x:c r="I357" t="str">
        <x:v>Intermediário</x:v>
      </x:c>
      <x:c r="J357" t="str">
        <x:v>CAEd_DadosExportados.zip</x:v>
      </x:c>
    </x:row>
    <x:row r="358">
      <x:c r="A358" t="str">
        <x:v>1A021</x:v>
      </x:c>
      <x:c r="B358" t="str">
        <x:v>1º ano</x:v>
      </x:c>
      <x:c r="C358" t="str">
        <x:v>referencia</x:v>
      </x:c>
      <x:c r="D358" t="str">
        <x:v>H08</x:v>
      </x:c>
      <x:c r="E358" t="n">
        <x:v>1</x:v>
      </x:c>
      <x:c r="F358" t="n">
        <x:v>2</x:v>
      </x:c>
      <x:c r="G358" t="n">
        <x:f>F358-E358</x:f>
        <x:v>1</x:v>
      </x:c>
      <x:c r="H358" s="2" t="n">
        <x:f>IFERROR(E358/F358,0)</x:f>
        <x:v>0.5</x:v>
      </x:c>
      <x:c r="I358" t="str">
        <x:v>Intermediário</x:v>
      </x:c>
      <x:c r="J358" t="str">
        <x:v>CAEd_DadosExportados.zip</x:v>
      </x:c>
    </x:row>
    <x:row r="359">
      <x:c r="A359" t="str">
        <x:v>1A022</x:v>
      </x:c>
      <x:c r="B359" t="str">
        <x:v>1º ano</x:v>
      </x:c>
      <x:c r="C359" t="str">
        <x:v>contraprova</x:v>
      </x:c>
      <x:c r="D359" t="str">
        <x:v>H01</x:v>
      </x:c>
      <x:c r="E359" t="n">
        <x:v>2</x:v>
      </x:c>
      <x:c r="F359" t="n">
        <x:v>2</x:v>
      </x:c>
      <x:c r="G359" t="n">
        <x:f>F359-E359</x:f>
        <x:v>0</x:v>
      </x:c>
      <x:c r="H359" s="2" t="n">
        <x:f>IFERROR(E359/F359,0)</x:f>
        <x:v>1</x:v>
      </x:c>
      <x:c r="I359" t="str">
        <x:v>Adequado</x:v>
      </x:c>
      <x:c r="J359" t="str">
        <x:v>CAEd_DadosExportados (3).zip</x:v>
      </x:c>
    </x:row>
    <x:row r="360">
      <x:c r="A360" t="str">
        <x:v>1A022</x:v>
      </x:c>
      <x:c r="B360" t="str">
        <x:v>1º ano</x:v>
      </x:c>
      <x:c r="C360" t="str">
        <x:v>contraprova</x:v>
      </x:c>
      <x:c r="D360" t="str">
        <x:v>H02</x:v>
      </x:c>
      <x:c r="E360" t="n">
        <x:v>2</x:v>
      </x:c>
      <x:c r="F360" t="n">
        <x:v>2</x:v>
      </x:c>
      <x:c r="G360" t="n">
        <x:f>F360-E360</x:f>
        <x:v>0</x:v>
      </x:c>
      <x:c r="H360" s="2" t="n">
        <x:f>IFERROR(E360/F360,0)</x:f>
        <x:v>1</x:v>
      </x:c>
      <x:c r="I360" t="str">
        <x:v>Adequado</x:v>
      </x:c>
      <x:c r="J360" t="str">
        <x:v>CAEd_DadosExportados (3).zip</x:v>
      </x:c>
    </x:row>
    <x:row r="361">
      <x:c r="A361" t="str">
        <x:v>1A022</x:v>
      </x:c>
      <x:c r="B361" t="str">
        <x:v>1º ano</x:v>
      </x:c>
      <x:c r="C361" t="str">
        <x:v>contraprova</x:v>
      </x:c>
      <x:c r="D361" t="str">
        <x:v>H03</x:v>
      </x:c>
      <x:c r="E361" t="n">
        <x:v>3</x:v>
      </x:c>
      <x:c r="F361" t="n">
        <x:v>3</x:v>
      </x:c>
      <x:c r="G361" t="n">
        <x:f>F361-E361</x:f>
        <x:v>0</x:v>
      </x:c>
      <x:c r="H361" s="2" t="n">
        <x:f>IFERROR(E361/F361,0)</x:f>
        <x:v>1</x:v>
      </x:c>
      <x:c r="I361" t="str">
        <x:v>Adequado</x:v>
      </x:c>
      <x:c r="J361" t="str">
        <x:v>CAEd_DadosExportados (3).zip</x:v>
      </x:c>
    </x:row>
    <x:row r="362">
      <x:c r="A362" t="str">
        <x:v>1A022</x:v>
      </x:c>
      <x:c r="B362" t="str">
        <x:v>1º ano</x:v>
      </x:c>
      <x:c r="C362" t="str">
        <x:v>contraprova</x:v>
      </x:c>
      <x:c r="D362" t="str">
        <x:v>H04</x:v>
      </x:c>
      <x:c r="E362" t="n">
        <x:v>3</x:v>
      </x:c>
      <x:c r="F362" t="n">
        <x:v>3</x:v>
      </x:c>
      <x:c r="G362" t="n">
        <x:f>F362-E362</x:f>
        <x:v>0</x:v>
      </x:c>
      <x:c r="H362" s="2" t="n">
        <x:f>IFERROR(E362/F362,0)</x:f>
        <x:v>1</x:v>
      </x:c>
      <x:c r="I362" t="str">
        <x:v>Adequado</x:v>
      </x:c>
      <x:c r="J362" t="str">
        <x:v>CAEd_DadosExportados (3).zip</x:v>
      </x:c>
    </x:row>
    <x:row r="363">
      <x:c r="A363" t="str">
        <x:v>1A022</x:v>
      </x:c>
      <x:c r="B363" t="str">
        <x:v>1º ano</x:v>
      </x:c>
      <x:c r="C363" t="str">
        <x:v>contraprova</x:v>
      </x:c>
      <x:c r="D363" t="str">
        <x:v>H05</x:v>
      </x:c>
      <x:c r="E363" t="n">
        <x:v>3</x:v>
      </x:c>
      <x:c r="F363" t="n">
        <x:v>3</x:v>
      </x:c>
      <x:c r="G363" t="n">
        <x:f>F363-E363</x:f>
        <x:v>0</x:v>
      </x:c>
      <x:c r="H363" s="2" t="n">
        <x:f>IFERROR(E363/F363,0)</x:f>
        <x:v>1</x:v>
      </x:c>
      <x:c r="I363" t="str">
        <x:v>Adequado</x:v>
      </x:c>
      <x:c r="J363" t="str">
        <x:v>CAEd_DadosExportados (3).zip</x:v>
      </x:c>
    </x:row>
    <x:row r="364">
      <x:c r="A364" t="str">
        <x:v>1A022</x:v>
      </x:c>
      <x:c r="B364" t="str">
        <x:v>1º ano</x:v>
      </x:c>
      <x:c r="C364" t="str">
        <x:v>contraprova</x:v>
      </x:c>
      <x:c r="D364" t="str">
        <x:v>H06</x:v>
      </x:c>
      <x:c r="E364" t="n">
        <x:v>3</x:v>
      </x:c>
      <x:c r="F364" t="n">
        <x:v>3</x:v>
      </x:c>
      <x:c r="G364" t="n">
        <x:f>F364-E364</x:f>
        <x:v>0</x:v>
      </x:c>
      <x:c r="H364" s="2" t="n">
        <x:f>IFERROR(E364/F364,0)</x:f>
        <x:v>1</x:v>
      </x:c>
      <x:c r="I364" t="str">
        <x:v>Adequado</x:v>
      </x:c>
      <x:c r="J364" t="str">
        <x:v>CAEd_DadosExportados (3).zip</x:v>
      </x:c>
    </x:row>
    <x:row r="365">
      <x:c r="A365" t="str">
        <x:v>1A022</x:v>
      </x:c>
      <x:c r="B365" t="str">
        <x:v>1º ano</x:v>
      </x:c>
      <x:c r="C365" t="str">
        <x:v>contraprova</x:v>
      </x:c>
      <x:c r="D365" t="str">
        <x:v>H07</x:v>
      </x:c>
      <x:c r="E365" t="n">
        <x:v>2</x:v>
      </x:c>
      <x:c r="F365" t="n">
        <x:v>2</x:v>
      </x:c>
      <x:c r="G365" t="n">
        <x:f>F365-E365</x:f>
        <x:v>0</x:v>
      </x:c>
      <x:c r="H365" s="2" t="n">
        <x:f>IFERROR(E365/F365,0)</x:f>
        <x:v>1</x:v>
      </x:c>
      <x:c r="I365" t="str">
        <x:v>Adequado</x:v>
      </x:c>
      <x:c r="J365" t="str">
        <x:v>CAEd_DadosExportados (3).zip</x:v>
      </x:c>
    </x:row>
    <x:row r="366">
      <x:c r="A366" t="str">
        <x:v>1A022</x:v>
      </x:c>
      <x:c r="B366" t="str">
        <x:v>1º ano</x:v>
      </x:c>
      <x:c r="C366" t="str">
        <x:v>contraprova</x:v>
      </x:c>
      <x:c r="D366" t="str">
        <x:v>H08</x:v>
      </x:c>
      <x:c r="E366" t="n">
        <x:v>1</x:v>
      </x:c>
      <x:c r="F366" t="n">
        <x:v>2</x:v>
      </x:c>
      <x:c r="G366" t="n">
        <x:f>F366-E366</x:f>
        <x:v>1</x:v>
      </x:c>
      <x:c r="H366" s="2" t="n">
        <x:f>IFERROR(E366/F366,0)</x:f>
        <x:v>0.5</x:v>
      </x:c>
      <x:c r="I366" t="str">
        <x:v>Adequado</x:v>
      </x:c>
      <x:c r="J366" t="str">
        <x:v>CAEd_DadosExportados (3).zip</x:v>
      </x:c>
    </x:row>
    <x:row r="367">
      <x:c r="A367" t="str">
        <x:v>1A022</x:v>
      </x:c>
      <x:c r="B367" t="str">
        <x:v>1º ano</x:v>
      </x:c>
      <x:c r="C367" t="str">
        <x:v>contraprova</x:v>
      </x:c>
      <x:c r="D367" t="str">
        <x:v>H09</x:v>
      </x:c>
      <x:c r="E367" t="n">
        <x:v>2</x:v>
      </x:c>
      <x:c r="F367" t="n">
        <x:v>2</x:v>
      </x:c>
      <x:c r="G367" t="n">
        <x:f>F367-E367</x:f>
        <x:v>0</x:v>
      </x:c>
      <x:c r="H367" s="2" t="n">
        <x:f>IFERROR(E367/F367,0)</x:f>
        <x:v>1</x:v>
      </x:c>
      <x:c r="I367" t="str">
        <x:v>Adequado</x:v>
      </x:c>
      <x:c r="J367" t="str">
        <x:v>CAEd_DadosExportados (3).zip</x:v>
      </x:c>
    </x:row>
    <x:row r="368">
      <x:c r="A368" t="str">
        <x:v>1A022</x:v>
      </x:c>
      <x:c r="B368" t="str">
        <x:v>1º ano</x:v>
      </x:c>
      <x:c r="C368" t="str">
        <x:v>referencia</x:v>
      </x:c>
      <x:c r="D368" t="str">
        <x:v>H01</x:v>
      </x:c>
      <x:c r="E368" t="n">
        <x:v>2</x:v>
      </x:c>
      <x:c r="F368" t="n">
        <x:v>3</x:v>
      </x:c>
      <x:c r="G368" t="n">
        <x:f>F368-E368</x:f>
        <x:v>1</x:v>
      </x:c>
      <x:c r="H368" s="2" t="n">
        <x:f>IFERROR(E368/F368,0)</x:f>
        <x:v>0.6666666666666666</x:v>
      </x:c>
      <x:c r="I368" t="str">
        <x:v>Adequado</x:v>
      </x:c>
      <x:c r="J368" t="str">
        <x:v>CAEd_DadosExportados.zip</x:v>
      </x:c>
    </x:row>
    <x:row r="369">
      <x:c r="A369" t="str">
        <x:v>1A022</x:v>
      </x:c>
      <x:c r="B369" t="str">
        <x:v>1º ano</x:v>
      </x:c>
      <x:c r="C369" t="str">
        <x:v>referencia</x:v>
      </x:c>
      <x:c r="D369" t="str">
        <x:v>H02</x:v>
      </x:c>
      <x:c r="E369" t="n">
        <x:v>2</x:v>
      </x:c>
      <x:c r="F369" t="n">
        <x:v>3</x:v>
      </x:c>
      <x:c r="G369" t="n">
        <x:f>F369-E369</x:f>
        <x:v>1</x:v>
      </x:c>
      <x:c r="H369" s="2" t="n">
        <x:f>IFERROR(E369/F369,0)</x:f>
        <x:v>0.6666666666666666</x:v>
      </x:c>
      <x:c r="I369" t="str">
        <x:v>Adequado</x:v>
      </x:c>
      <x:c r="J369" t="str">
        <x:v>CAEd_DadosExportados.zip</x:v>
      </x:c>
    </x:row>
    <x:row r="370">
      <x:c r="A370" t="str">
        <x:v>1A022</x:v>
      </x:c>
      <x:c r="B370" t="str">
        <x:v>1º ano</x:v>
      </x:c>
      <x:c r="C370" t="str">
        <x:v>referencia</x:v>
      </x:c>
      <x:c r="D370" t="str">
        <x:v>H03</x:v>
      </x:c>
      <x:c r="E370" t="n">
        <x:v>3</x:v>
      </x:c>
      <x:c r="F370" t="n">
        <x:v>3</x:v>
      </x:c>
      <x:c r="G370" t="n">
        <x:f>F370-E370</x:f>
        <x:v>0</x:v>
      </x:c>
      <x:c r="H370" s="2" t="n">
        <x:f>IFERROR(E370/F370,0)</x:f>
        <x:v>1</x:v>
      </x:c>
      <x:c r="I370" t="str">
        <x:v>Adequado</x:v>
      </x:c>
      <x:c r="J370" t="str">
        <x:v>CAEd_DadosExportados.zip</x:v>
      </x:c>
    </x:row>
    <x:row r="371">
      <x:c r="A371" t="str">
        <x:v>1A022</x:v>
      </x:c>
      <x:c r="B371" t="str">
        <x:v>1º ano</x:v>
      </x:c>
      <x:c r="C371" t="str">
        <x:v>referencia</x:v>
      </x:c>
      <x:c r="D371" t="str">
        <x:v>H04</x:v>
      </x:c>
      <x:c r="E371" t="n">
        <x:v>2</x:v>
      </x:c>
      <x:c r="F371" t="n">
        <x:v>3</x:v>
      </x:c>
      <x:c r="G371" t="n">
        <x:f>F371-E371</x:f>
        <x:v>1</x:v>
      </x:c>
      <x:c r="H371" s="2" t="n">
        <x:f>IFERROR(E371/F371,0)</x:f>
        <x:v>0.6666666666666666</x:v>
      </x:c>
      <x:c r="I371" t="str">
        <x:v>Adequado</x:v>
      </x:c>
      <x:c r="J371" t="str">
        <x:v>CAEd_DadosExportados.zip</x:v>
      </x:c>
    </x:row>
    <x:row r="372">
      <x:c r="A372" t="str">
        <x:v>1A022</x:v>
      </x:c>
      <x:c r="B372" t="str">
        <x:v>1º ano</x:v>
      </x:c>
      <x:c r="C372" t="str">
        <x:v>referencia</x:v>
      </x:c>
      <x:c r="D372" t="str">
        <x:v>H05</x:v>
      </x:c>
      <x:c r="E372" t="n">
        <x:v>3</x:v>
      </x:c>
      <x:c r="F372" t="n">
        <x:v>3</x:v>
      </x:c>
      <x:c r="G372" t="n">
        <x:f>F372-E372</x:f>
        <x:v>0</x:v>
      </x:c>
      <x:c r="H372" s="2" t="n">
        <x:f>IFERROR(E372/F372,0)</x:f>
        <x:v>1</x:v>
      </x:c>
      <x:c r="I372" t="str">
        <x:v>Adequado</x:v>
      </x:c>
      <x:c r="J372" t="str">
        <x:v>CAEd_DadosExportados.zip</x:v>
      </x:c>
    </x:row>
    <x:row r="373">
      <x:c r="A373" t="str">
        <x:v>1A022</x:v>
      </x:c>
      <x:c r="B373" t="str">
        <x:v>1º ano</x:v>
      </x:c>
      <x:c r="C373" t="str">
        <x:v>referencia</x:v>
      </x:c>
      <x:c r="D373" t="str">
        <x:v>H06</x:v>
      </x:c>
      <x:c r="E373" t="n">
        <x:v>2</x:v>
      </x:c>
      <x:c r="F373" t="n">
        <x:v>3</x:v>
      </x:c>
      <x:c r="G373" t="n">
        <x:f>F373-E373</x:f>
        <x:v>1</x:v>
      </x:c>
      <x:c r="H373" s="2" t="n">
        <x:f>IFERROR(E373/F373,0)</x:f>
        <x:v>0.6666666666666666</x:v>
      </x:c>
      <x:c r="I373" t="str">
        <x:v>Adequado</x:v>
      </x:c>
      <x:c r="J373" t="str">
        <x:v>CAEd_DadosExportados.zip</x:v>
      </x:c>
    </x:row>
    <x:row r="374">
      <x:c r="A374" t="str">
        <x:v>1A022</x:v>
      </x:c>
      <x:c r="B374" t="str">
        <x:v>1º ano</x:v>
      </x:c>
      <x:c r="C374" t="str">
        <x:v>referencia</x:v>
      </x:c>
      <x:c r="D374" t="str">
        <x:v>H07</x:v>
      </x:c>
      <x:c r="E374" t="n">
        <x:v>1</x:v>
      </x:c>
      <x:c r="F374" t="n">
        <x:v>2</x:v>
      </x:c>
      <x:c r="G374" t="n">
        <x:f>F374-E374</x:f>
        <x:v>1</x:v>
      </x:c>
      <x:c r="H374" s="2" t="n">
        <x:f>IFERROR(E374/F374,0)</x:f>
        <x:v>0.5</x:v>
      </x:c>
      <x:c r="I374" t="str">
        <x:v>Adequado</x:v>
      </x:c>
      <x:c r="J374" t="str">
        <x:v>CAEd_DadosExportados.zip</x:v>
      </x:c>
    </x:row>
    <x:row r="375">
      <x:c r="A375" t="str">
        <x:v>1A022</x:v>
      </x:c>
      <x:c r="B375" t="str">
        <x:v>1º ano</x:v>
      </x:c>
      <x:c r="C375" t="str">
        <x:v>referencia</x:v>
      </x:c>
      <x:c r="D375" t="str">
        <x:v>H08</x:v>
      </x:c>
      <x:c r="E375" t="n">
        <x:v>2</x:v>
      </x:c>
      <x:c r="F375" t="n">
        <x:v>2</x:v>
      </x:c>
      <x:c r="G375" t="n">
        <x:f>F375-E375</x:f>
        <x:v>0</x:v>
      </x:c>
      <x:c r="H375" s="2" t="n">
        <x:f>IFERROR(E375/F375,0)</x:f>
        <x:v>1</x:v>
      </x:c>
      <x:c r="I375" t="str">
        <x:v>Adequado</x:v>
      </x:c>
      <x:c r="J375" t="str">
        <x:v>CAEd_DadosExportados.zip</x:v>
      </x:c>
    </x:row>
    <x:row r="376">
      <x:c r="A376" t="str">
        <x:v>1A023</x:v>
      </x:c>
      <x:c r="B376" t="str">
        <x:v>1º ano</x:v>
      </x:c>
      <x:c r="C376" t="str">
        <x:v>contraprova</x:v>
      </x:c>
      <x:c r="D376" t="str">
        <x:v>H01</x:v>
      </x:c>
      <x:c r="E376" t="n">
        <x:v>2</x:v>
      </x:c>
      <x:c r="F376" t="n">
        <x:v>2</x:v>
      </x:c>
      <x:c r="G376" t="n">
        <x:f>F376-E376</x:f>
        <x:v>0</x:v>
      </x:c>
      <x:c r="H376" s="2" t="n">
        <x:f>IFERROR(E376/F376,0)</x:f>
        <x:v>1</x:v>
      </x:c>
      <x:c r="I376" t="str">
        <x:v>Adequado</x:v>
      </x:c>
      <x:c r="J376" t="str">
        <x:v>CAEd_DadosExportados (3).zip</x:v>
      </x:c>
    </x:row>
    <x:row r="377">
      <x:c r="A377" t="str">
        <x:v>1A023</x:v>
      </x:c>
      <x:c r="B377" t="str">
        <x:v>1º ano</x:v>
      </x:c>
      <x:c r="C377" t="str">
        <x:v>contraprova</x:v>
      </x:c>
      <x:c r="D377" t="str">
        <x:v>H02</x:v>
      </x:c>
      <x:c r="E377" t="n">
        <x:v>2</x:v>
      </x:c>
      <x:c r="F377" t="n">
        <x:v>2</x:v>
      </x:c>
      <x:c r="G377" t="n">
        <x:f>F377-E377</x:f>
        <x:v>0</x:v>
      </x:c>
      <x:c r="H377" s="2" t="n">
        <x:f>IFERROR(E377/F377,0)</x:f>
        <x:v>1</x:v>
      </x:c>
      <x:c r="I377" t="str">
        <x:v>Adequado</x:v>
      </x:c>
      <x:c r="J377" t="str">
        <x:v>CAEd_DadosExportados (3).zip</x:v>
      </x:c>
    </x:row>
    <x:row r="378">
      <x:c r="A378" t="str">
        <x:v>1A023</x:v>
      </x:c>
      <x:c r="B378" t="str">
        <x:v>1º ano</x:v>
      </x:c>
      <x:c r="C378" t="str">
        <x:v>contraprova</x:v>
      </x:c>
      <x:c r="D378" t="str">
        <x:v>H03</x:v>
      </x:c>
      <x:c r="E378" t="n">
        <x:v>3</x:v>
      </x:c>
      <x:c r="F378" t="n">
        <x:v>3</x:v>
      </x:c>
      <x:c r="G378" t="n">
        <x:f>F378-E378</x:f>
        <x:v>0</x:v>
      </x:c>
      <x:c r="H378" s="2" t="n">
        <x:f>IFERROR(E378/F378,0)</x:f>
        <x:v>1</x:v>
      </x:c>
      <x:c r="I378" t="str">
        <x:v>Adequado</x:v>
      </x:c>
      <x:c r="J378" t="str">
        <x:v>CAEd_DadosExportados (3).zip</x:v>
      </x:c>
    </x:row>
    <x:row r="379">
      <x:c r="A379" t="str">
        <x:v>1A023</x:v>
      </x:c>
      <x:c r="B379" t="str">
        <x:v>1º ano</x:v>
      </x:c>
      <x:c r="C379" t="str">
        <x:v>contraprova</x:v>
      </x:c>
      <x:c r="D379" t="str">
        <x:v>H04</x:v>
      </x:c>
      <x:c r="E379" t="n">
        <x:v>3</x:v>
      </x:c>
      <x:c r="F379" t="n">
        <x:v>3</x:v>
      </x:c>
      <x:c r="G379" t="n">
        <x:f>F379-E379</x:f>
        <x:v>0</x:v>
      </x:c>
      <x:c r="H379" s="2" t="n">
        <x:f>IFERROR(E379/F379,0)</x:f>
        <x:v>1</x:v>
      </x:c>
      <x:c r="I379" t="str">
        <x:v>Adequado</x:v>
      </x:c>
      <x:c r="J379" t="str">
        <x:v>CAEd_DadosExportados (3).zip</x:v>
      </x:c>
    </x:row>
    <x:row r="380">
      <x:c r="A380" t="str">
        <x:v>1A023</x:v>
      </x:c>
      <x:c r="B380" t="str">
        <x:v>1º ano</x:v>
      </x:c>
      <x:c r="C380" t="str">
        <x:v>contraprova</x:v>
      </x:c>
      <x:c r="D380" t="str">
        <x:v>H05</x:v>
      </x:c>
      <x:c r="E380" t="n">
        <x:v>3</x:v>
      </x:c>
      <x:c r="F380" t="n">
        <x:v>3</x:v>
      </x:c>
      <x:c r="G380" t="n">
        <x:f>F380-E380</x:f>
        <x:v>0</x:v>
      </x:c>
      <x:c r="H380" s="2" t="n">
        <x:f>IFERROR(E380/F380,0)</x:f>
        <x:v>1</x:v>
      </x:c>
      <x:c r="I380" t="str">
        <x:v>Adequado</x:v>
      </x:c>
      <x:c r="J380" t="str">
        <x:v>CAEd_DadosExportados (3).zip</x:v>
      </x:c>
    </x:row>
    <x:row r="381">
      <x:c r="A381" t="str">
        <x:v>1A023</x:v>
      </x:c>
      <x:c r="B381" t="str">
        <x:v>1º ano</x:v>
      </x:c>
      <x:c r="C381" t="str">
        <x:v>contraprova</x:v>
      </x:c>
      <x:c r="D381" t="str">
        <x:v>H06</x:v>
      </x:c>
      <x:c r="E381" t="n">
        <x:v>3</x:v>
      </x:c>
      <x:c r="F381" t="n">
        <x:v>3</x:v>
      </x:c>
      <x:c r="G381" t="n">
        <x:f>F381-E381</x:f>
        <x:v>0</x:v>
      </x:c>
      <x:c r="H381" s="2" t="n">
        <x:f>IFERROR(E381/F381,0)</x:f>
        <x:v>1</x:v>
      </x:c>
      <x:c r="I381" t="str">
        <x:v>Adequado</x:v>
      </x:c>
      <x:c r="J381" t="str">
        <x:v>CAEd_DadosExportados (3).zip</x:v>
      </x:c>
    </x:row>
    <x:row r="382">
      <x:c r="A382" t="str">
        <x:v>1A023</x:v>
      </x:c>
      <x:c r="B382" t="str">
        <x:v>1º ano</x:v>
      </x:c>
      <x:c r="C382" t="str">
        <x:v>contraprova</x:v>
      </x:c>
      <x:c r="D382" t="str">
        <x:v>H07</x:v>
      </x:c>
      <x:c r="E382" t="n">
        <x:v>2</x:v>
      </x:c>
      <x:c r="F382" t="n">
        <x:v>2</x:v>
      </x:c>
      <x:c r="G382" t="n">
        <x:f>F382-E382</x:f>
        <x:v>0</x:v>
      </x:c>
      <x:c r="H382" s="2" t="n">
        <x:f>IFERROR(E382/F382,0)</x:f>
        <x:v>1</x:v>
      </x:c>
      <x:c r="I382" t="str">
        <x:v>Adequado</x:v>
      </x:c>
      <x:c r="J382" t="str">
        <x:v>CAEd_DadosExportados (3).zip</x:v>
      </x:c>
    </x:row>
    <x:row r="383">
      <x:c r="A383" t="str">
        <x:v>1A023</x:v>
      </x:c>
      <x:c r="B383" t="str">
        <x:v>1º ano</x:v>
      </x:c>
      <x:c r="C383" t="str">
        <x:v>contraprova</x:v>
      </x:c>
      <x:c r="D383" t="str">
        <x:v>H08</x:v>
      </x:c>
      <x:c r="E383" t="n">
        <x:v>2</x:v>
      </x:c>
      <x:c r="F383" t="n">
        <x:v>2</x:v>
      </x:c>
      <x:c r="G383" t="n">
        <x:f>F383-E383</x:f>
        <x:v>0</x:v>
      </x:c>
      <x:c r="H383" s="2" t="n">
        <x:f>IFERROR(E383/F383,0)</x:f>
        <x:v>1</x:v>
      </x:c>
      <x:c r="I383" t="str">
        <x:v>Adequado</x:v>
      </x:c>
      <x:c r="J383" t="str">
        <x:v>CAEd_DadosExportados (3).zip</x:v>
      </x:c>
    </x:row>
    <x:row r="384">
      <x:c r="A384" t="str">
        <x:v>1A023</x:v>
      </x:c>
      <x:c r="B384" t="str">
        <x:v>1º ano</x:v>
      </x:c>
      <x:c r="C384" t="str">
        <x:v>contraprova</x:v>
      </x:c>
      <x:c r="D384" t="str">
        <x:v>H09</x:v>
      </x:c>
      <x:c r="E384" t="n">
        <x:v>2</x:v>
      </x:c>
      <x:c r="F384" t="n">
        <x:v>2</x:v>
      </x:c>
      <x:c r="G384" t="n">
        <x:f>F384-E384</x:f>
        <x:v>0</x:v>
      </x:c>
      <x:c r="H384" s="2" t="n">
        <x:f>IFERROR(E384/F384,0)</x:f>
        <x:v>1</x:v>
      </x:c>
      <x:c r="I384" t="str">
        <x:v>Adequado</x:v>
      </x:c>
      <x:c r="J384" t="str">
        <x:v>CAEd_DadosExportados (3).zip</x:v>
      </x:c>
    </x:row>
    <x:row r="385">
      <x:c r="A385" t="str">
        <x:v>1A023</x:v>
      </x:c>
      <x:c r="B385" t="str">
        <x:v>1º ano</x:v>
      </x:c>
      <x:c r="C385" t="str">
        <x:v>referencia</x:v>
      </x:c>
      <x:c r="D385" t="str">
        <x:v>H01</x:v>
      </x:c>
      <x:c r="E385" t="n">
        <x:v>3</x:v>
      </x:c>
      <x:c r="F385" t="n">
        <x:v>3</x:v>
      </x:c>
      <x:c r="G385" t="n">
        <x:f>F385-E385</x:f>
        <x:v>0</x:v>
      </x:c>
      <x:c r="H385" s="2" t="n">
        <x:f>IFERROR(E385/F385,0)</x:f>
        <x:v>1</x:v>
      </x:c>
      <x:c r="I385" t="str">
        <x:v>Adequado</x:v>
      </x:c>
      <x:c r="J385" t="str">
        <x:v>CAEd_DadosExportados.zip</x:v>
      </x:c>
    </x:row>
    <x:row r="386">
      <x:c r="A386" t="str">
        <x:v>1A023</x:v>
      </x:c>
      <x:c r="B386" t="str">
        <x:v>1º ano</x:v>
      </x:c>
      <x:c r="C386" t="str">
        <x:v>referencia</x:v>
      </x:c>
      <x:c r="D386" t="str">
        <x:v>H02</x:v>
      </x:c>
      <x:c r="E386" t="n">
        <x:v>3</x:v>
      </x:c>
      <x:c r="F386" t="n">
        <x:v>3</x:v>
      </x:c>
      <x:c r="G386" t="n">
        <x:f>F386-E386</x:f>
        <x:v>0</x:v>
      </x:c>
      <x:c r="H386" s="2" t="n">
        <x:f>IFERROR(E386/F386,0)</x:f>
        <x:v>1</x:v>
      </x:c>
      <x:c r="I386" t="str">
        <x:v>Adequado</x:v>
      </x:c>
      <x:c r="J386" t="str">
        <x:v>CAEd_DadosExportados.zip</x:v>
      </x:c>
    </x:row>
    <x:row r="387">
      <x:c r="A387" t="str">
        <x:v>1A023</x:v>
      </x:c>
      <x:c r="B387" t="str">
        <x:v>1º ano</x:v>
      </x:c>
      <x:c r="C387" t="str">
        <x:v>referencia</x:v>
      </x:c>
      <x:c r="D387" t="str">
        <x:v>H03</x:v>
      </x:c>
      <x:c r="E387" t="n">
        <x:v>2</x:v>
      </x:c>
      <x:c r="F387" t="n">
        <x:v>3</x:v>
      </x:c>
      <x:c r="G387" t="n">
        <x:f>F387-E387</x:f>
        <x:v>1</x:v>
      </x:c>
      <x:c r="H387" s="2" t="n">
        <x:f>IFERROR(E387/F387,0)</x:f>
        <x:v>0.6666666666666666</x:v>
      </x:c>
      <x:c r="I387" t="str">
        <x:v>Adequado</x:v>
      </x:c>
      <x:c r="J387" t="str">
        <x:v>CAEd_DadosExportados.zip</x:v>
      </x:c>
    </x:row>
    <x:row r="388">
      <x:c r="A388" t="str">
        <x:v>1A023</x:v>
      </x:c>
      <x:c r="B388" t="str">
        <x:v>1º ano</x:v>
      </x:c>
      <x:c r="C388" t="str">
        <x:v>referencia</x:v>
      </x:c>
      <x:c r="D388" t="str">
        <x:v>H04</x:v>
      </x:c>
      <x:c r="E388" t="n">
        <x:v>2</x:v>
      </x:c>
      <x:c r="F388" t="n">
        <x:v>3</x:v>
      </x:c>
      <x:c r="G388" t="n">
        <x:f>F388-E388</x:f>
        <x:v>1</x:v>
      </x:c>
      <x:c r="H388" s="2" t="n">
        <x:f>IFERROR(E388/F388,0)</x:f>
        <x:v>0.6666666666666666</x:v>
      </x:c>
      <x:c r="I388" t="str">
        <x:v>Adequado</x:v>
      </x:c>
      <x:c r="J388" t="str">
        <x:v>CAEd_DadosExportados.zip</x:v>
      </x:c>
    </x:row>
    <x:row r="389">
      <x:c r="A389" t="str">
        <x:v>1A023</x:v>
      </x:c>
      <x:c r="B389" t="str">
        <x:v>1º ano</x:v>
      </x:c>
      <x:c r="C389" t="str">
        <x:v>referencia</x:v>
      </x:c>
      <x:c r="D389" t="str">
        <x:v>H05</x:v>
      </x:c>
      <x:c r="E389" t="n">
        <x:v>3</x:v>
      </x:c>
      <x:c r="F389" t="n">
        <x:v>3</x:v>
      </x:c>
      <x:c r="G389" t="n">
        <x:f>F389-E389</x:f>
        <x:v>0</x:v>
      </x:c>
      <x:c r="H389" s="2" t="n">
        <x:f>IFERROR(E389/F389,0)</x:f>
        <x:v>1</x:v>
      </x:c>
      <x:c r="I389" t="str">
        <x:v>Adequado</x:v>
      </x:c>
      <x:c r="J389" t="str">
        <x:v>CAEd_DadosExportados.zip</x:v>
      </x:c>
    </x:row>
    <x:row r="390">
      <x:c r="A390" t="str">
        <x:v>1A023</x:v>
      </x:c>
      <x:c r="B390" t="str">
        <x:v>1º ano</x:v>
      </x:c>
      <x:c r="C390" t="str">
        <x:v>referencia</x:v>
      </x:c>
      <x:c r="D390" t="str">
        <x:v>H06</x:v>
      </x:c>
      <x:c r="E390" t="n">
        <x:v>3</x:v>
      </x:c>
      <x:c r="F390" t="n">
        <x:v>3</x:v>
      </x:c>
      <x:c r="G390" t="n">
        <x:f>F390-E390</x:f>
        <x:v>0</x:v>
      </x:c>
      <x:c r="H390" s="2" t="n">
        <x:f>IFERROR(E390/F390,0)</x:f>
        <x:v>1</x:v>
      </x:c>
      <x:c r="I390" t="str">
        <x:v>Adequado</x:v>
      </x:c>
      <x:c r="J390" t="str">
        <x:v>CAEd_DadosExportados.zip</x:v>
      </x:c>
    </x:row>
    <x:row r="391">
      <x:c r="A391" t="str">
        <x:v>1A023</x:v>
      </x:c>
      <x:c r="B391" t="str">
        <x:v>1º ano</x:v>
      </x:c>
      <x:c r="C391" t="str">
        <x:v>referencia</x:v>
      </x:c>
      <x:c r="D391" t="str">
        <x:v>H07</x:v>
      </x:c>
      <x:c r="E391" t="n">
        <x:v>2</x:v>
      </x:c>
      <x:c r="F391" t="n">
        <x:v>2</x:v>
      </x:c>
      <x:c r="G391" t="n">
        <x:f>F391-E391</x:f>
        <x:v>0</x:v>
      </x:c>
      <x:c r="H391" s="2" t="n">
        <x:f>IFERROR(E391/F391,0)</x:f>
        <x:v>1</x:v>
      </x:c>
      <x:c r="I391" t="str">
        <x:v>Adequado</x:v>
      </x:c>
      <x:c r="J391" t="str">
        <x:v>CAEd_DadosExportados.zip</x:v>
      </x:c>
    </x:row>
    <x:row r="392">
      <x:c r="A392" t="str">
        <x:v>1A023</x:v>
      </x:c>
      <x:c r="B392" t="str">
        <x:v>1º ano</x:v>
      </x:c>
      <x:c r="C392" t="str">
        <x:v>referencia</x:v>
      </x:c>
      <x:c r="D392" t="str">
        <x:v>H08</x:v>
      </x:c>
      <x:c r="E392" t="n">
        <x:v>2</x:v>
      </x:c>
      <x:c r="F392" t="n">
        <x:v>2</x:v>
      </x:c>
      <x:c r="G392" t="n">
        <x:f>F392-E392</x:f>
        <x:v>0</x:v>
      </x:c>
      <x:c r="H392" s="2" t="n">
        <x:f>IFERROR(E392/F392,0)</x:f>
        <x:v>1</x:v>
      </x:c>
      <x:c r="I392" t="str">
        <x:v>Adequado</x:v>
      </x:c>
      <x:c r="J392" t="str">
        <x:v>CAEd_DadosExportados.zip</x:v>
      </x:c>
    </x:row>
    <x:row r="393">
      <x:c r="A393" t="str">
        <x:v>1A024</x:v>
      </x:c>
      <x:c r="B393" t="str">
        <x:v>1º ano</x:v>
      </x:c>
      <x:c r="C393" t="str">
        <x:v>contraprova</x:v>
      </x:c>
      <x:c r="D393" t="str">
        <x:v>H01</x:v>
      </x:c>
      <x:c r="E393" t="n">
        <x:v>2</x:v>
      </x:c>
      <x:c r="F393" t="n">
        <x:v>2</x:v>
      </x:c>
      <x:c r="G393" t="n">
        <x:f>F393-E393</x:f>
        <x:v>0</x:v>
      </x:c>
      <x:c r="H393" s="2" t="n">
        <x:f>IFERROR(E393/F393,0)</x:f>
        <x:v>1</x:v>
      </x:c>
      <x:c r="I393" t="str">
        <x:v>Adequado</x:v>
      </x:c>
      <x:c r="J393" t="str">
        <x:v>CAEd_DadosExportados (3).zip</x:v>
      </x:c>
    </x:row>
    <x:row r="394">
      <x:c r="A394" t="str">
        <x:v>1A024</x:v>
      </x:c>
      <x:c r="B394" t="str">
        <x:v>1º ano</x:v>
      </x:c>
      <x:c r="C394" t="str">
        <x:v>contraprova</x:v>
      </x:c>
      <x:c r="D394" t="str">
        <x:v>H02</x:v>
      </x:c>
      <x:c r="E394" t="n">
        <x:v>2</x:v>
      </x:c>
      <x:c r="F394" t="n">
        <x:v>2</x:v>
      </x:c>
      <x:c r="G394" t="n">
        <x:f>F394-E394</x:f>
        <x:v>0</x:v>
      </x:c>
      <x:c r="H394" s="2" t="n">
        <x:f>IFERROR(E394/F394,0)</x:f>
        <x:v>1</x:v>
      </x:c>
      <x:c r="I394" t="str">
        <x:v>Adequado</x:v>
      </x:c>
      <x:c r="J394" t="str">
        <x:v>CAEd_DadosExportados (3).zip</x:v>
      </x:c>
    </x:row>
    <x:row r="395">
      <x:c r="A395" t="str">
        <x:v>1A024</x:v>
      </x:c>
      <x:c r="B395" t="str">
        <x:v>1º ano</x:v>
      </x:c>
      <x:c r="C395" t="str">
        <x:v>contraprova</x:v>
      </x:c>
      <x:c r="D395" t="str">
        <x:v>H03</x:v>
      </x:c>
      <x:c r="E395" t="n">
        <x:v>3</x:v>
      </x:c>
      <x:c r="F395" t="n">
        <x:v>3</x:v>
      </x:c>
      <x:c r="G395" t="n">
        <x:f>F395-E395</x:f>
        <x:v>0</x:v>
      </x:c>
      <x:c r="H395" s="2" t="n">
        <x:f>IFERROR(E395/F395,0)</x:f>
        <x:v>1</x:v>
      </x:c>
      <x:c r="I395" t="str">
        <x:v>Adequado</x:v>
      </x:c>
      <x:c r="J395" t="str">
        <x:v>CAEd_DadosExportados (3).zip</x:v>
      </x:c>
    </x:row>
    <x:row r="396">
      <x:c r="A396" t="str">
        <x:v>1A024</x:v>
      </x:c>
      <x:c r="B396" t="str">
        <x:v>1º ano</x:v>
      </x:c>
      <x:c r="C396" t="str">
        <x:v>contraprova</x:v>
      </x:c>
      <x:c r="D396" t="str">
        <x:v>H04</x:v>
      </x:c>
      <x:c r="E396" t="n">
        <x:v>1</x:v>
      </x:c>
      <x:c r="F396" t="n">
        <x:v>3</x:v>
      </x:c>
      <x:c r="G396" t="n">
        <x:f>F396-E396</x:f>
        <x:v>2</x:v>
      </x:c>
      <x:c r="H396" s="2" t="n">
        <x:f>IFERROR(E396/F396,0)</x:f>
        <x:v>0.3333333333333333</x:v>
      </x:c>
      <x:c r="I396" t="str">
        <x:v>Adequado</x:v>
      </x:c>
      <x:c r="J396" t="str">
        <x:v>CAEd_DadosExportados (3).zip</x:v>
      </x:c>
    </x:row>
    <x:row r="397">
      <x:c r="A397" t="str">
        <x:v>1A024</x:v>
      </x:c>
      <x:c r="B397" t="str">
        <x:v>1º ano</x:v>
      </x:c>
      <x:c r="C397" t="str">
        <x:v>contraprova</x:v>
      </x:c>
      <x:c r="D397" t="str">
        <x:v>H05</x:v>
      </x:c>
      <x:c r="E397" t="n">
        <x:v>1</x:v>
      </x:c>
      <x:c r="F397" t="n">
        <x:v>3</x:v>
      </x:c>
      <x:c r="G397" t="n">
        <x:f>F397-E397</x:f>
        <x:v>2</x:v>
      </x:c>
      <x:c r="H397" s="2" t="n">
        <x:f>IFERROR(E397/F397,0)</x:f>
        <x:v>0.3333333333333333</x:v>
      </x:c>
      <x:c r="I397" t="str">
        <x:v>Adequado</x:v>
      </x:c>
      <x:c r="J397" t="str">
        <x:v>CAEd_DadosExportados (3).zip</x:v>
      </x:c>
    </x:row>
    <x:row r="398">
      <x:c r="A398" t="str">
        <x:v>1A024</x:v>
      </x:c>
      <x:c r="B398" t="str">
        <x:v>1º ano</x:v>
      </x:c>
      <x:c r="C398" t="str">
        <x:v>contraprova</x:v>
      </x:c>
      <x:c r="D398" t="str">
        <x:v>H06</x:v>
      </x:c>
      <x:c r="E398" t="n">
        <x:v>3</x:v>
      </x:c>
      <x:c r="F398" t="n">
        <x:v>3</x:v>
      </x:c>
      <x:c r="G398" t="n">
        <x:f>F398-E398</x:f>
        <x:v>0</x:v>
      </x:c>
      <x:c r="H398" s="2" t="n">
        <x:f>IFERROR(E398/F398,0)</x:f>
        <x:v>1</x:v>
      </x:c>
      <x:c r="I398" t="str">
        <x:v>Adequado</x:v>
      </x:c>
      <x:c r="J398" t="str">
        <x:v>CAEd_DadosExportados (3).zip</x:v>
      </x:c>
    </x:row>
    <x:row r="399">
      <x:c r="A399" t="str">
        <x:v>1A024</x:v>
      </x:c>
      <x:c r="B399" t="str">
        <x:v>1º ano</x:v>
      </x:c>
      <x:c r="C399" t="str">
        <x:v>contraprova</x:v>
      </x:c>
      <x:c r="D399" t="str">
        <x:v>H07</x:v>
      </x:c>
      <x:c r="E399" t="n">
        <x:v>1</x:v>
      </x:c>
      <x:c r="F399" t="n">
        <x:v>2</x:v>
      </x:c>
      <x:c r="G399" t="n">
        <x:f>F399-E399</x:f>
        <x:v>1</x:v>
      </x:c>
      <x:c r="H399" s="2" t="n">
        <x:f>IFERROR(E399/F399,0)</x:f>
        <x:v>0.5</x:v>
      </x:c>
      <x:c r="I399" t="str">
        <x:v>Adequado</x:v>
      </x:c>
      <x:c r="J399" t="str">
        <x:v>CAEd_DadosExportados (3).zip</x:v>
      </x:c>
    </x:row>
    <x:row r="400">
      <x:c r="A400" t="str">
        <x:v>1A024</x:v>
      </x:c>
      <x:c r="B400" t="str">
        <x:v>1º ano</x:v>
      </x:c>
      <x:c r="C400" t="str">
        <x:v>contraprova</x:v>
      </x:c>
      <x:c r="D400" t="str">
        <x:v>H08</x:v>
      </x:c>
      <x:c r="E400" t="n">
        <x:v>2</x:v>
      </x:c>
      <x:c r="F400" t="n">
        <x:v>2</x:v>
      </x:c>
      <x:c r="G400" t="n">
        <x:f>F400-E400</x:f>
        <x:v>0</x:v>
      </x:c>
      <x:c r="H400" s="2" t="n">
        <x:f>IFERROR(E400/F400,0)</x:f>
        <x:v>1</x:v>
      </x:c>
      <x:c r="I400" t="str">
        <x:v>Adequado</x:v>
      </x:c>
      <x:c r="J400" t="str">
        <x:v>CAEd_DadosExportados (3).zip</x:v>
      </x:c>
    </x:row>
    <x:row r="401">
      <x:c r="A401" t="str">
        <x:v>1A024</x:v>
      </x:c>
      <x:c r="B401" t="str">
        <x:v>1º ano</x:v>
      </x:c>
      <x:c r="C401" t="str">
        <x:v>contraprova</x:v>
      </x:c>
      <x:c r="D401" t="str">
        <x:v>H09</x:v>
      </x:c>
      <x:c r="E401" t="n">
        <x:v>2</x:v>
      </x:c>
      <x:c r="F401" t="n">
        <x:v>2</x:v>
      </x:c>
      <x:c r="G401" t="n">
        <x:f>F401-E401</x:f>
        <x:v>0</x:v>
      </x:c>
      <x:c r="H401" s="2" t="n">
        <x:f>IFERROR(E401/F401,0)</x:f>
        <x:v>1</x:v>
      </x:c>
      <x:c r="I401" t="str">
        <x:v>Adequado</x:v>
      </x:c>
      <x:c r="J401" t="str">
        <x:v>CAEd_DadosExportados (3).zip</x:v>
      </x:c>
    </x:row>
    <x:row r="402">
      <x:c r="A402" t="str">
        <x:v>1A024</x:v>
      </x:c>
      <x:c r="B402" t="str">
        <x:v>1º ano</x:v>
      </x:c>
      <x:c r="C402" t="str">
        <x:v>referencia</x:v>
      </x:c>
      <x:c r="D402" t="str">
        <x:v>H01</x:v>
      </x:c>
      <x:c r="E402" t="n">
        <x:v>0</x:v>
      </x:c>
      <x:c r="F402" t="n">
        <x:v>3</x:v>
      </x:c>
      <x:c r="G402" t="n">
        <x:f>F402-E402</x:f>
        <x:v>3</x:v>
      </x:c>
      <x:c r="H402" s="2" t="n">
        <x:f>IFERROR(E402/F402,0)</x:f>
        <x:v>0</x:v>
      </x:c>
      <x:c r="I402" t="str">
        <x:v>Defasagem</x:v>
      </x:c>
      <x:c r="J402" t="str">
        <x:v>CAEd_DadosExportados.zip</x:v>
      </x:c>
    </x:row>
    <x:row r="403">
      <x:c r="A403" t="str">
        <x:v>1A024</x:v>
      </x:c>
      <x:c r="B403" t="str">
        <x:v>1º ano</x:v>
      </x:c>
      <x:c r="C403" t="str">
        <x:v>referencia</x:v>
      </x:c>
      <x:c r="D403" t="str">
        <x:v>H02</x:v>
      </x:c>
      <x:c r="E403" t="n">
        <x:v>3</x:v>
      </x:c>
      <x:c r="F403" t="n">
        <x:v>3</x:v>
      </x:c>
      <x:c r="G403" t="n">
        <x:f>F403-E403</x:f>
        <x:v>0</x:v>
      </x:c>
      <x:c r="H403" s="2" t="n">
        <x:f>IFERROR(E403/F403,0)</x:f>
        <x:v>1</x:v>
      </x:c>
      <x:c r="I403" t="str">
        <x:v>Defasagem</x:v>
      </x:c>
      <x:c r="J403" t="str">
        <x:v>CAEd_DadosExportados.zip</x:v>
      </x:c>
    </x:row>
    <x:row r="404">
      <x:c r="A404" t="str">
        <x:v>1A024</x:v>
      </x:c>
      <x:c r="B404" t="str">
        <x:v>1º ano</x:v>
      </x:c>
      <x:c r="C404" t="str">
        <x:v>referencia</x:v>
      </x:c>
      <x:c r="D404" t="str">
        <x:v>H03</x:v>
      </x:c>
      <x:c r="E404" t="n">
        <x:v>1</x:v>
      </x:c>
      <x:c r="F404" t="n">
        <x:v>3</x:v>
      </x:c>
      <x:c r="G404" t="n">
        <x:f>F404-E404</x:f>
        <x:v>2</x:v>
      </x:c>
      <x:c r="H404" s="2" t="n">
        <x:f>IFERROR(E404/F404,0)</x:f>
        <x:v>0.3333333333333333</x:v>
      </x:c>
      <x:c r="I404" t="str">
        <x:v>Defasagem</x:v>
      </x:c>
      <x:c r="J404" t="str">
        <x:v>CAEd_DadosExportados.zip</x:v>
      </x:c>
    </x:row>
    <x:row r="405">
      <x:c r="A405" t="str">
        <x:v>1A024</x:v>
      </x:c>
      <x:c r="B405" t="str">
        <x:v>1º ano</x:v>
      </x:c>
      <x:c r="C405" t="str">
        <x:v>referencia</x:v>
      </x:c>
      <x:c r="D405" t="str">
        <x:v>H04</x:v>
      </x:c>
      <x:c r="E405" t="n">
        <x:v>1</x:v>
      </x:c>
      <x:c r="F405" t="n">
        <x:v>3</x:v>
      </x:c>
      <x:c r="G405" t="n">
        <x:f>F405-E405</x:f>
        <x:v>2</x:v>
      </x:c>
      <x:c r="H405" s="2" t="n">
        <x:f>IFERROR(E405/F405,0)</x:f>
        <x:v>0.3333333333333333</x:v>
      </x:c>
      <x:c r="I405" t="str">
        <x:v>Defasagem</x:v>
      </x:c>
      <x:c r="J405" t="str">
        <x:v>CAEd_DadosExportados.zip</x:v>
      </x:c>
    </x:row>
    <x:row r="406">
      <x:c r="A406" t="str">
        <x:v>1A024</x:v>
      </x:c>
      <x:c r="B406" t="str">
        <x:v>1º ano</x:v>
      </x:c>
      <x:c r="C406" t="str">
        <x:v>referencia</x:v>
      </x:c>
      <x:c r="D406" t="str">
        <x:v>H05</x:v>
      </x:c>
      <x:c r="E406" t="n">
        <x:v>3</x:v>
      </x:c>
      <x:c r="F406" t="n">
        <x:v>3</x:v>
      </x:c>
      <x:c r="G406" t="n">
        <x:f>F406-E406</x:f>
        <x:v>0</x:v>
      </x:c>
      <x:c r="H406" s="2" t="n">
        <x:f>IFERROR(E406/F406,0)</x:f>
        <x:v>1</x:v>
      </x:c>
      <x:c r="I406" t="str">
        <x:v>Defasagem</x:v>
      </x:c>
      <x:c r="J406" t="str">
        <x:v>CAEd_DadosExportados.zip</x:v>
      </x:c>
    </x:row>
    <x:row r="407">
      <x:c r="A407" t="str">
        <x:v>1A024</x:v>
      </x:c>
      <x:c r="B407" t="str">
        <x:v>1º ano</x:v>
      </x:c>
      <x:c r="C407" t="str">
        <x:v>referencia</x:v>
      </x:c>
      <x:c r="D407" t="str">
        <x:v>H06</x:v>
      </x:c>
      <x:c r="E407" t="n">
        <x:v>2</x:v>
      </x:c>
      <x:c r="F407" t="n">
        <x:v>3</x:v>
      </x:c>
      <x:c r="G407" t="n">
        <x:f>F407-E407</x:f>
        <x:v>1</x:v>
      </x:c>
      <x:c r="H407" s="2" t="n">
        <x:f>IFERROR(E407/F407,0)</x:f>
        <x:v>0.6666666666666666</x:v>
      </x:c>
      <x:c r="I407" t="str">
        <x:v>Defasagem</x:v>
      </x:c>
      <x:c r="J407" t="str">
        <x:v>CAEd_DadosExportados.zip</x:v>
      </x:c>
    </x:row>
    <x:row r="408">
      <x:c r="A408" t="str">
        <x:v>1A024</x:v>
      </x:c>
      <x:c r="B408" t="str">
        <x:v>1º ano</x:v>
      </x:c>
      <x:c r="C408" t="str">
        <x:v>referencia</x:v>
      </x:c>
      <x:c r="D408" t="str">
        <x:v>H07</x:v>
      </x:c>
      <x:c r="E408" t="n">
        <x:v>0</x:v>
      </x:c>
      <x:c r="F408" t="n">
        <x:v>2</x:v>
      </x:c>
      <x:c r="G408" t="n">
        <x:f>F408-E408</x:f>
        <x:v>2</x:v>
      </x:c>
      <x:c r="H408" s="2" t="n">
        <x:f>IFERROR(E408/F408,0)</x:f>
        <x:v>0</x:v>
      </x:c>
      <x:c r="I408" t="str">
        <x:v>Defasagem</x:v>
      </x:c>
      <x:c r="J408" t="str">
        <x:v>CAEd_DadosExportados.zip</x:v>
      </x:c>
    </x:row>
    <x:row r="409">
      <x:c r="A409" t="str">
        <x:v>1A024</x:v>
      </x:c>
      <x:c r="B409" t="str">
        <x:v>1º ano</x:v>
      </x:c>
      <x:c r="C409" t="str">
        <x:v>referencia</x:v>
      </x:c>
      <x:c r="D409" t="str">
        <x:v>H08</x:v>
      </x:c>
      <x:c r="E409" t="n">
        <x:v>1</x:v>
      </x:c>
      <x:c r="F409" t="n">
        <x:v>2</x:v>
      </x:c>
      <x:c r="G409" t="n">
        <x:f>F409-E409</x:f>
        <x:v>1</x:v>
      </x:c>
      <x:c r="H409" s="2" t="n">
        <x:f>IFERROR(E409/F409,0)</x:f>
        <x:v>0.5</x:v>
      </x:c>
      <x:c r="I409" t="str">
        <x:v>Defasagem</x:v>
      </x:c>
      <x:c r="J409" t="str">
        <x:v>CAEd_DadosExportados.zip</x:v>
      </x:c>
    </x:row>
    <x:row r="410">
      <x:c r="A410" t="str">
        <x:v>2A001</x:v>
      </x:c>
      <x:c r="B410" t="str">
        <x:v>2º ano</x:v>
      </x:c>
      <x:c r="C410" t="str">
        <x:v>contraprova</x:v>
      </x:c>
      <x:c r="D410" t="str">
        <x:v>H01</x:v>
      </x:c>
      <x:c r="E410" t="n">
        <x:v>2</x:v>
      </x:c>
      <x:c r="F410" t="n">
        <x:v>2</x:v>
      </x:c>
      <x:c r="G410" t="n">
        <x:f>F410-E410</x:f>
        <x:v>0</x:v>
      </x:c>
      <x:c r="H410" s="2" t="n">
        <x:f>IFERROR(E410/F410,0)</x:f>
        <x:v>1</x:v>
      </x:c>
      <x:c r="I410" t="str">
        <x:v>Adequado</x:v>
      </x:c>
      <x:c r="J410" t="str">
        <x:v>CAEd_DadosExportados (2).zip</x:v>
      </x:c>
    </x:row>
    <x:row r="411">
      <x:c r="A411" t="str">
        <x:v>2A001</x:v>
      </x:c>
      <x:c r="B411" t="str">
        <x:v>2º ano</x:v>
      </x:c>
      <x:c r="C411" t="str">
        <x:v>contraprova</x:v>
      </x:c>
      <x:c r="D411" t="str">
        <x:v>H02</x:v>
      </x:c>
      <x:c r="E411" t="n">
        <x:v>2</x:v>
      </x:c>
      <x:c r="F411" t="n">
        <x:v>2</x:v>
      </x:c>
      <x:c r="G411" t="n">
        <x:f>F411-E411</x:f>
        <x:v>0</x:v>
      </x:c>
      <x:c r="H411" s="2" t="n">
        <x:f>IFERROR(E411/F411,0)</x:f>
        <x:v>1</x:v>
      </x:c>
      <x:c r="I411" t="str">
        <x:v>Adequado</x:v>
      </x:c>
      <x:c r="J411" t="str">
        <x:v>CAEd_DadosExportados (2).zip</x:v>
      </x:c>
    </x:row>
    <x:row r="412">
      <x:c r="A412" t="str">
        <x:v>2A001</x:v>
      </x:c>
      <x:c r="B412" t="str">
        <x:v>2º ano</x:v>
      </x:c>
      <x:c r="C412" t="str">
        <x:v>contraprova</x:v>
      </x:c>
      <x:c r="D412" t="str">
        <x:v>H03</x:v>
      </x:c>
      <x:c r="E412" t="n">
        <x:v>2</x:v>
      </x:c>
      <x:c r="F412" t="n">
        <x:v>2</x:v>
      </x:c>
      <x:c r="G412" t="n">
        <x:f>F412-E412</x:f>
        <x:v>0</x:v>
      </x:c>
      <x:c r="H412" s="2" t="n">
        <x:f>IFERROR(E412/F412,0)</x:f>
        <x:v>1</x:v>
      </x:c>
      <x:c r="I412" t="str">
        <x:v>Adequado</x:v>
      </x:c>
      <x:c r="J412" t="str">
        <x:v>CAEd_DadosExportados (2).zip</x:v>
      </x:c>
    </x:row>
    <x:row r="413">
      <x:c r="A413" t="str">
        <x:v>2A001</x:v>
      </x:c>
      <x:c r="B413" t="str">
        <x:v>2º ano</x:v>
      </x:c>
      <x:c r="C413" t="str">
        <x:v>contraprova</x:v>
      </x:c>
      <x:c r="D413" t="str">
        <x:v>H04</x:v>
      </x:c>
      <x:c r="E413" t="n">
        <x:v>2</x:v>
      </x:c>
      <x:c r="F413" t="n">
        <x:v>2</x:v>
      </x:c>
      <x:c r="G413" t="n">
        <x:f>F413-E413</x:f>
        <x:v>0</x:v>
      </x:c>
      <x:c r="H413" s="2" t="n">
        <x:f>IFERROR(E413/F413,0)</x:f>
        <x:v>1</x:v>
      </x:c>
      <x:c r="I413" t="str">
        <x:v>Adequado</x:v>
      </x:c>
      <x:c r="J413" t="str">
        <x:v>CAEd_DadosExportados (2).zip</x:v>
      </x:c>
    </x:row>
    <x:row r="414">
      <x:c r="A414" t="str">
        <x:v>2A001</x:v>
      </x:c>
      <x:c r="B414" t="str">
        <x:v>2º ano</x:v>
      </x:c>
      <x:c r="C414" t="str">
        <x:v>contraprova</x:v>
      </x:c>
      <x:c r="D414" t="str">
        <x:v>H05</x:v>
      </x:c>
      <x:c r="E414" t="n">
        <x:v>2</x:v>
      </x:c>
      <x:c r="F414" t="n">
        <x:v>2</x:v>
      </x:c>
      <x:c r="G414" t="n">
        <x:f>F414-E414</x:f>
        <x:v>0</x:v>
      </x:c>
      <x:c r="H414" s="2" t="n">
        <x:f>IFERROR(E414/F414,0)</x:f>
        <x:v>1</x:v>
      </x:c>
      <x:c r="I414" t="str">
        <x:v>Adequado</x:v>
      </x:c>
      <x:c r="J414" t="str">
        <x:v>CAEd_DadosExportados (2).zip</x:v>
      </x:c>
    </x:row>
    <x:row r="415">
      <x:c r="A415" t="str">
        <x:v>2A001</x:v>
      </x:c>
      <x:c r="B415" t="str">
        <x:v>2º ano</x:v>
      </x:c>
      <x:c r="C415" t="str">
        <x:v>contraprova</x:v>
      </x:c>
      <x:c r="D415" t="str">
        <x:v>H06</x:v>
      </x:c>
      <x:c r="E415" t="n">
        <x:v>2</x:v>
      </x:c>
      <x:c r="F415" t="n">
        <x:v>2</x:v>
      </x:c>
      <x:c r="G415" t="n">
        <x:f>F415-E415</x:f>
        <x:v>0</x:v>
      </x:c>
      <x:c r="H415" s="2" t="n">
        <x:f>IFERROR(E415/F415,0)</x:f>
        <x:v>1</x:v>
      </x:c>
      <x:c r="I415" t="str">
        <x:v>Adequado</x:v>
      </x:c>
      <x:c r="J415" t="str">
        <x:v>CAEd_DadosExportados (2).zip</x:v>
      </x:c>
    </x:row>
    <x:row r="416">
      <x:c r="A416" t="str">
        <x:v>2A001</x:v>
      </x:c>
      <x:c r="B416" t="str">
        <x:v>2º ano</x:v>
      </x:c>
      <x:c r="C416" t="str">
        <x:v>contraprova</x:v>
      </x:c>
      <x:c r="D416" t="str">
        <x:v>H07</x:v>
      </x:c>
      <x:c r="E416" t="n">
        <x:v>2</x:v>
      </x:c>
      <x:c r="F416" t="n">
        <x:v>2</x:v>
      </x:c>
      <x:c r="G416" t="n">
        <x:f>F416-E416</x:f>
        <x:v>0</x:v>
      </x:c>
      <x:c r="H416" s="2" t="n">
        <x:f>IFERROR(E416/F416,0)</x:f>
        <x:v>1</x:v>
      </x:c>
      <x:c r="I416" t="str">
        <x:v>Adequado</x:v>
      </x:c>
      <x:c r="J416" t="str">
        <x:v>CAEd_DadosExportados (2).zip</x:v>
      </x:c>
    </x:row>
    <x:row r="417">
      <x:c r="A417" t="str">
        <x:v>2A001</x:v>
      </x:c>
      <x:c r="B417" t="str">
        <x:v>2º ano</x:v>
      </x:c>
      <x:c r="C417" t="str">
        <x:v>contraprova</x:v>
      </x:c>
      <x:c r="D417" t="str">
        <x:v>H08</x:v>
      </x:c>
      <x:c r="E417" t="n">
        <x:v>2</x:v>
      </x:c>
      <x:c r="F417" t="n">
        <x:v>2</x:v>
      </x:c>
      <x:c r="G417" t="n">
        <x:f>F417-E417</x:f>
        <x:v>0</x:v>
      </x:c>
      <x:c r="H417" s="2" t="n">
        <x:f>IFERROR(E417/F417,0)</x:f>
        <x:v>1</x:v>
      </x:c>
      <x:c r="I417" t="str">
        <x:v>Adequado</x:v>
      </x:c>
      <x:c r="J417" t="str">
        <x:v>CAEd_DadosExportados (2).zip</x:v>
      </x:c>
    </x:row>
    <x:row r="418">
      <x:c r="A418" t="str">
        <x:v>2A001</x:v>
      </x:c>
      <x:c r="B418" t="str">
        <x:v>2º ano</x:v>
      </x:c>
      <x:c r="C418" t="str">
        <x:v>contraprova</x:v>
      </x:c>
      <x:c r="D418" t="str">
        <x:v>H09</x:v>
      </x:c>
      <x:c r="E418" t="n">
        <x:v>2</x:v>
      </x:c>
      <x:c r="F418" t="n">
        <x:v>2</x:v>
      </x:c>
      <x:c r="G418" t="n">
        <x:f>F418-E418</x:f>
        <x:v>0</x:v>
      </x:c>
      <x:c r="H418" s="2" t="n">
        <x:f>IFERROR(E418/F418,0)</x:f>
        <x:v>1</x:v>
      </x:c>
      <x:c r="I418" t="str">
        <x:v>Adequado</x:v>
      </x:c>
      <x:c r="J418" t="str">
        <x:v>CAEd_DadosExportados (2).zip</x:v>
      </x:c>
    </x:row>
    <x:row r="419">
      <x:c r="A419" t="str">
        <x:v>2A001</x:v>
      </x:c>
      <x:c r="B419" t="str">
        <x:v>2º ano</x:v>
      </x:c>
      <x:c r="C419" t="str">
        <x:v>contraprova</x:v>
      </x:c>
      <x:c r="D419" t="str">
        <x:v>H10</x:v>
      </x:c>
      <x:c r="E419" t="n">
        <x:v>2</x:v>
      </x:c>
      <x:c r="F419" t="n">
        <x:v>2</x:v>
      </x:c>
      <x:c r="G419" t="n">
        <x:f>F419-E419</x:f>
        <x:v>0</x:v>
      </x:c>
      <x:c r="H419" s="2" t="n">
        <x:f>IFERROR(E419/F419,0)</x:f>
        <x:v>1</x:v>
      </x:c>
      <x:c r="I419" t="str">
        <x:v>Adequado</x:v>
      </x:c>
      <x:c r="J419" t="str">
        <x:v>CAEd_DadosExportados (2).zip</x:v>
      </x:c>
    </x:row>
    <x:row r="420">
      <x:c r="A420" t="str">
        <x:v>2A001</x:v>
      </x:c>
      <x:c r="B420" t="str">
        <x:v>2º ano</x:v>
      </x:c>
      <x:c r="C420" t="str">
        <x:v>contraprova</x:v>
      </x:c>
      <x:c r="D420" t="str">
        <x:v>H11</x:v>
      </x:c>
      <x:c r="E420" t="n">
        <x:v>1</x:v>
      </x:c>
      <x:c r="F420" t="n">
        <x:v>2</x:v>
      </x:c>
      <x:c r="G420" t="n">
        <x:f>F420-E420</x:f>
        <x:v>1</x:v>
      </x:c>
      <x:c r="H420" s="2" t="n">
        <x:f>IFERROR(E420/F420,0)</x:f>
        <x:v>0.5</x:v>
      </x:c>
      <x:c r="I420" t="str">
        <x:v>Adequado</x:v>
      </x:c>
      <x:c r="J420" t="str">
        <x:v>CAEd_DadosExportados (2).zip</x:v>
      </x:c>
    </x:row>
    <x:row r="421">
      <x:c r="A421" t="str">
        <x:v>2A001</x:v>
      </x:c>
      <x:c r="B421" t="str">
        <x:v>2º ano</x:v>
      </x:c>
      <x:c r="C421" t="str">
        <x:v>referencia</x:v>
      </x:c>
      <x:c r="D421" t="str">
        <x:v>H01</x:v>
      </x:c>
      <x:c r="E421" t="n">
        <x:v>1</x:v>
      </x:c>
      <x:c r="F421" t="n">
        <x:v>2</x:v>
      </x:c>
      <x:c r="G421" t="n">
        <x:f>F421-E421</x:f>
        <x:v>1</x:v>
      </x:c>
      <x:c r="H421" s="2" t="n">
        <x:f>IFERROR(E421/F421,0)</x:f>
        <x:v>0.5</x:v>
      </x:c>
      <x:c r="I421" t="str">
        <x:v>Intermediário</x:v>
      </x:c>
      <x:c r="J421" t="str">
        <x:v>CAEd_DadosExportados (1).zip</x:v>
      </x:c>
    </x:row>
    <x:row r="422">
      <x:c r="A422" t="str">
        <x:v>2A001</x:v>
      </x:c>
      <x:c r="B422" t="str">
        <x:v>2º ano</x:v>
      </x:c>
      <x:c r="C422" t="str">
        <x:v>referencia</x:v>
      </x:c>
      <x:c r="D422" t="str">
        <x:v>H02</x:v>
      </x:c>
      <x:c r="E422" t="n">
        <x:v>1</x:v>
      </x:c>
      <x:c r="F422" t="n">
        <x:v>2</x:v>
      </x:c>
      <x:c r="G422" t="n">
        <x:f>F422-E422</x:f>
        <x:v>1</x:v>
      </x:c>
      <x:c r="H422" s="2" t="n">
        <x:f>IFERROR(E422/F422,0)</x:f>
        <x:v>0.5</x:v>
      </x:c>
      <x:c r="I422" t="str">
        <x:v>Intermediário</x:v>
      </x:c>
      <x:c r="J422" t="str">
        <x:v>CAEd_DadosExportados (1).zip</x:v>
      </x:c>
    </x:row>
    <x:row r="423">
      <x:c r="A423" t="str">
        <x:v>2A001</x:v>
      </x:c>
      <x:c r="B423" t="str">
        <x:v>2º ano</x:v>
      </x:c>
      <x:c r="C423" t="str">
        <x:v>referencia</x:v>
      </x:c>
      <x:c r="D423" t="str">
        <x:v>H03</x:v>
      </x:c>
      <x:c r="E423" t="n">
        <x:v>2</x:v>
      </x:c>
      <x:c r="F423" t="n">
        <x:v>2</x:v>
      </x:c>
      <x:c r="G423" t="n">
        <x:f>F423-E423</x:f>
        <x:v>0</x:v>
      </x:c>
      <x:c r="H423" s="2" t="n">
        <x:f>IFERROR(E423/F423,0)</x:f>
        <x:v>1</x:v>
      </x:c>
      <x:c r="I423" t="str">
        <x:v>Intermediário</x:v>
      </x:c>
      <x:c r="J423" t="str">
        <x:v>CAEd_DadosExportados (1).zip</x:v>
      </x:c>
    </x:row>
    <x:row r="424">
      <x:c r="A424" t="str">
        <x:v>2A001</x:v>
      </x:c>
      <x:c r="B424" t="str">
        <x:v>2º ano</x:v>
      </x:c>
      <x:c r="C424" t="str">
        <x:v>referencia</x:v>
      </x:c>
      <x:c r="D424" t="str">
        <x:v>H04</x:v>
      </x:c>
      <x:c r="E424" t="n">
        <x:v>2</x:v>
      </x:c>
      <x:c r="F424" t="n">
        <x:v>2</x:v>
      </x:c>
      <x:c r="G424" t="n">
        <x:f>F424-E424</x:f>
        <x:v>0</x:v>
      </x:c>
      <x:c r="H424" s="2" t="n">
        <x:f>IFERROR(E424/F424,0)</x:f>
        <x:v>1</x:v>
      </x:c>
      <x:c r="I424" t="str">
        <x:v>Intermediário</x:v>
      </x:c>
      <x:c r="J424" t="str">
        <x:v>CAEd_DadosExportados (1).zip</x:v>
      </x:c>
    </x:row>
    <x:row r="425">
      <x:c r="A425" t="str">
        <x:v>2A001</x:v>
      </x:c>
      <x:c r="B425" t="str">
        <x:v>2º ano</x:v>
      </x:c>
      <x:c r="C425" t="str">
        <x:v>referencia</x:v>
      </x:c>
      <x:c r="D425" t="str">
        <x:v>H05</x:v>
      </x:c>
      <x:c r="E425" t="n">
        <x:v>1</x:v>
      </x:c>
      <x:c r="F425" t="n">
        <x:v>1</x:v>
      </x:c>
      <x:c r="G425" t="n">
        <x:f>F425-E425</x:f>
        <x:v>0</x:v>
      </x:c>
      <x:c r="H425" s="2" t="n">
        <x:f>IFERROR(E425/F425,0)</x:f>
        <x:v>1</x:v>
      </x:c>
      <x:c r="I425" t="str">
        <x:v>Intermediário</x:v>
      </x:c>
      <x:c r="J425" t="str">
        <x:v>CAEd_DadosExportados (1).zip</x:v>
      </x:c>
    </x:row>
    <x:row r="426">
      <x:c r="A426" t="str">
        <x:v>2A001</x:v>
      </x:c>
      <x:c r="B426" t="str">
        <x:v>2º ano</x:v>
      </x:c>
      <x:c r="C426" t="str">
        <x:v>referencia</x:v>
      </x:c>
      <x:c r="D426" t="str">
        <x:v>H06</x:v>
      </x:c>
      <x:c r="E426" t="n">
        <x:v>1</x:v>
      </x:c>
      <x:c r="F426" t="n">
        <x:v>2</x:v>
      </x:c>
      <x:c r="G426" t="n">
        <x:f>F426-E426</x:f>
        <x:v>1</x:v>
      </x:c>
      <x:c r="H426" s="2" t="n">
        <x:f>IFERROR(E426/F426,0)</x:f>
        <x:v>0.5</x:v>
      </x:c>
      <x:c r="I426" t="str">
        <x:v>Intermediário</x:v>
      </x:c>
      <x:c r="J426" t="str">
        <x:v>CAEd_DadosExportados (1).zip</x:v>
      </x:c>
    </x:row>
    <x:row r="427">
      <x:c r="A427" t="str">
        <x:v>2A001</x:v>
      </x:c>
      <x:c r="B427" t="str">
        <x:v>2º ano</x:v>
      </x:c>
      <x:c r="C427" t="str">
        <x:v>referencia</x:v>
      </x:c>
      <x:c r="D427" t="str">
        <x:v>H07</x:v>
      </x:c>
      <x:c r="E427" t="n">
        <x:v>2</x:v>
      </x:c>
      <x:c r="F427" t="n">
        <x:v>2</x:v>
      </x:c>
      <x:c r="G427" t="n">
        <x:f>F427-E427</x:f>
        <x:v>0</x:v>
      </x:c>
      <x:c r="H427" s="2" t="n">
        <x:f>IFERROR(E427/F427,0)</x:f>
        <x:v>1</x:v>
      </x:c>
      <x:c r="I427" t="str">
        <x:v>Intermediário</x:v>
      </x:c>
      <x:c r="J427" t="str">
        <x:v>CAEd_DadosExportados (1).zip</x:v>
      </x:c>
    </x:row>
    <x:row r="428">
      <x:c r="A428" t="str">
        <x:v>2A001</x:v>
      </x:c>
      <x:c r="B428" t="str">
        <x:v>2º ano</x:v>
      </x:c>
      <x:c r="C428" t="str">
        <x:v>referencia</x:v>
      </x:c>
      <x:c r="D428" t="str">
        <x:v>H08</x:v>
      </x:c>
      <x:c r="E428" t="n">
        <x:v>1</x:v>
      </x:c>
      <x:c r="F428" t="n">
        <x:v>2</x:v>
      </x:c>
      <x:c r="G428" t="n">
        <x:f>F428-E428</x:f>
        <x:v>1</x:v>
      </x:c>
      <x:c r="H428" s="2" t="n">
        <x:f>IFERROR(E428/F428,0)</x:f>
        <x:v>0.5</x:v>
      </x:c>
      <x:c r="I428" t="str">
        <x:v>Intermediário</x:v>
      </x:c>
      <x:c r="J428" t="str">
        <x:v>CAEd_DadosExportados (1).zip</x:v>
      </x:c>
    </x:row>
    <x:row r="429">
      <x:c r="A429" t="str">
        <x:v>2A001</x:v>
      </x:c>
      <x:c r="B429" t="str">
        <x:v>2º ano</x:v>
      </x:c>
      <x:c r="C429" t="str">
        <x:v>referencia</x:v>
      </x:c>
      <x:c r="D429" t="str">
        <x:v>H09</x:v>
      </x:c>
      <x:c r="E429" t="n">
        <x:v>1</x:v>
      </x:c>
      <x:c r="F429" t="n">
        <x:v>2</x:v>
      </x:c>
      <x:c r="G429" t="n">
        <x:f>F429-E429</x:f>
        <x:v>1</x:v>
      </x:c>
      <x:c r="H429" s="2" t="n">
        <x:f>IFERROR(E429/F429,0)</x:f>
        <x:v>0.5</x:v>
      </x:c>
      <x:c r="I429" t="str">
        <x:v>Intermediário</x:v>
      </x:c>
      <x:c r="J429" t="str">
        <x:v>CAEd_DadosExportados (1).zip</x:v>
      </x:c>
    </x:row>
    <x:row r="430">
      <x:c r="A430" t="str">
        <x:v>2A001</x:v>
      </x:c>
      <x:c r="B430" t="str">
        <x:v>2º ano</x:v>
      </x:c>
      <x:c r="C430" t="str">
        <x:v>referencia</x:v>
      </x:c>
      <x:c r="D430" t="str">
        <x:v>H10</x:v>
      </x:c>
      <x:c r="E430" t="n">
        <x:v>1</x:v>
      </x:c>
      <x:c r="F430" t="n">
        <x:v>1</x:v>
      </x:c>
      <x:c r="G430" t="n">
        <x:f>F430-E430</x:f>
        <x:v>0</x:v>
      </x:c>
      <x:c r="H430" s="2" t="n">
        <x:f>IFERROR(E430/F430,0)</x:f>
        <x:v>1</x:v>
      </x:c>
      <x:c r="I430" t="str">
        <x:v>Intermediário</x:v>
      </x:c>
      <x:c r="J430" t="str">
        <x:v>CAEd_DadosExportados (1).zip</x:v>
      </x:c>
    </x:row>
    <x:row r="431">
      <x:c r="A431" t="str">
        <x:v>2A001</x:v>
      </x:c>
      <x:c r="B431" t="str">
        <x:v>2º ano</x:v>
      </x:c>
      <x:c r="C431" t="str">
        <x:v>referencia</x:v>
      </x:c>
      <x:c r="D431" t="str">
        <x:v>H11</x:v>
      </x:c>
      <x:c r="E431" t="n">
        <x:v>1</x:v>
      </x:c>
      <x:c r="F431" t="n">
        <x:v>2</x:v>
      </x:c>
      <x:c r="G431" t="n">
        <x:f>F431-E431</x:f>
        <x:v>1</x:v>
      </x:c>
      <x:c r="H431" s="2" t="n">
        <x:f>IFERROR(E431/F431,0)</x:f>
        <x:v>0.5</x:v>
      </x:c>
      <x:c r="I431" t="str">
        <x:v>Intermediário</x:v>
      </x:c>
      <x:c r="J431" t="str">
        <x:v>CAEd_DadosExportados (1).zip</x:v>
      </x:c>
    </x:row>
    <x:row r="432">
      <x:c r="A432" t="str">
        <x:v>2A001</x:v>
      </x:c>
      <x:c r="B432" t="str">
        <x:v>2º ano</x:v>
      </x:c>
      <x:c r="C432" t="str">
        <x:v>referencia</x:v>
      </x:c>
      <x:c r="D432" t="str">
        <x:v>H12</x:v>
      </x:c>
      <x:c r="E432" t="n">
        <x:v>1</x:v>
      </x:c>
      <x:c r="F432" t="n">
        <x:v>1</x:v>
      </x:c>
      <x:c r="G432" t="n">
        <x:f>F432-E432</x:f>
        <x:v>0</x:v>
      </x:c>
      <x:c r="H432" s="2" t="n">
        <x:f>IFERROR(E432/F432,0)</x:f>
        <x:v>1</x:v>
      </x:c>
      <x:c r="I432" t="str">
        <x:v>Intermediário</x:v>
      </x:c>
      <x:c r="J432" t="str">
        <x:v>CAEd_DadosExportados (1).zip</x:v>
      </x:c>
    </x:row>
    <x:row r="433">
      <x:c r="A433" t="str">
        <x:v>2A001</x:v>
      </x:c>
      <x:c r="B433" t="str">
        <x:v>2º ano</x:v>
      </x:c>
      <x:c r="C433" t="str">
        <x:v>referencia</x:v>
      </x:c>
      <x:c r="D433" t="str">
        <x:v>H13</x:v>
      </x:c>
      <x:c r="E433" t="n">
        <x:v>0</x:v>
      </x:c>
      <x:c r="F433" t="n">
        <x:v>1</x:v>
      </x:c>
      <x:c r="G433" t="n">
        <x:f>F433-E433</x:f>
        <x:v>1</x:v>
      </x:c>
      <x:c r="H433" s="2" t="n">
        <x:f>IFERROR(E433/F433,0)</x:f>
        <x:v>0</x:v>
      </x:c>
      <x:c r="I433" t="str">
        <x:v>Intermediário</x:v>
      </x:c>
      <x:c r="J433" t="str">
        <x:v>CAEd_DadosExportados (1).zip</x:v>
      </x:c>
    </x:row>
    <x:row r="434">
      <x:c r="A434" t="str">
        <x:v>2A002</x:v>
      </x:c>
      <x:c r="B434" t="str">
        <x:v>2º ano</x:v>
      </x:c>
      <x:c r="C434" t="str">
        <x:v>contraprova</x:v>
      </x:c>
      <x:c r="D434" t="str">
        <x:v>H01</x:v>
      </x:c>
      <x:c r="E434" t="n">
        <x:v>0</x:v>
      </x:c>
      <x:c r="F434" t="n">
        <x:v>2</x:v>
      </x:c>
      <x:c r="G434" t="n">
        <x:f>F434-E434</x:f>
        <x:v>2</x:v>
      </x:c>
      <x:c r="H434" s="2" t="n">
        <x:f>IFERROR(E434/F434,0)</x:f>
        <x:v>0</x:v>
      </x:c>
      <x:c r="I434" t="str">
        <x:v>Intermediário</x:v>
      </x:c>
      <x:c r="J434" t="str">
        <x:v>CAEd_DadosExportados (2).zip</x:v>
      </x:c>
    </x:row>
    <x:row r="435">
      <x:c r="A435" t="str">
        <x:v>2A002</x:v>
      </x:c>
      <x:c r="B435" t="str">
        <x:v>2º ano</x:v>
      </x:c>
      <x:c r="C435" t="str">
        <x:v>contraprova</x:v>
      </x:c>
      <x:c r="D435" t="str">
        <x:v>H02</x:v>
      </x:c>
      <x:c r="E435" t="n">
        <x:v>1</x:v>
      </x:c>
      <x:c r="F435" t="n">
        <x:v>2</x:v>
      </x:c>
      <x:c r="G435" t="n">
        <x:f>F435-E435</x:f>
        <x:v>1</x:v>
      </x:c>
      <x:c r="H435" s="2" t="n">
        <x:f>IFERROR(E435/F435,0)</x:f>
        <x:v>0.5</x:v>
      </x:c>
      <x:c r="I435" t="str">
        <x:v>Intermediário</x:v>
      </x:c>
      <x:c r="J435" t="str">
        <x:v>CAEd_DadosExportados (2).zip</x:v>
      </x:c>
    </x:row>
    <x:row r="436">
      <x:c r="A436" t="str">
        <x:v>2A002</x:v>
      </x:c>
      <x:c r="B436" t="str">
        <x:v>2º ano</x:v>
      </x:c>
      <x:c r="C436" t="str">
        <x:v>contraprova</x:v>
      </x:c>
      <x:c r="D436" t="str">
        <x:v>H03</x:v>
      </x:c>
      <x:c r="E436" t="n">
        <x:v>2</x:v>
      </x:c>
      <x:c r="F436" t="n">
        <x:v>2</x:v>
      </x:c>
      <x:c r="G436" t="n">
        <x:f>F436-E436</x:f>
        <x:v>0</x:v>
      </x:c>
      <x:c r="H436" s="2" t="n">
        <x:f>IFERROR(E436/F436,0)</x:f>
        <x:v>1</x:v>
      </x:c>
      <x:c r="I436" t="str">
        <x:v>Intermediário</x:v>
      </x:c>
      <x:c r="J436" t="str">
        <x:v>CAEd_DadosExportados (2).zip</x:v>
      </x:c>
    </x:row>
    <x:row r="437">
      <x:c r="A437" t="str">
        <x:v>2A002</x:v>
      </x:c>
      <x:c r="B437" t="str">
        <x:v>2º ano</x:v>
      </x:c>
      <x:c r="C437" t="str">
        <x:v>contraprova</x:v>
      </x:c>
      <x:c r="D437" t="str">
        <x:v>H04</x:v>
      </x:c>
      <x:c r="E437" t="n">
        <x:v>1</x:v>
      </x:c>
      <x:c r="F437" t="n">
        <x:v>2</x:v>
      </x:c>
      <x:c r="G437" t="n">
        <x:f>F437-E437</x:f>
        <x:v>1</x:v>
      </x:c>
      <x:c r="H437" s="2" t="n">
        <x:f>IFERROR(E437/F437,0)</x:f>
        <x:v>0.5</x:v>
      </x:c>
      <x:c r="I437" t="str">
        <x:v>Intermediário</x:v>
      </x:c>
      <x:c r="J437" t="str">
        <x:v>CAEd_DadosExportados (2).zip</x:v>
      </x:c>
    </x:row>
    <x:row r="438">
      <x:c r="A438" t="str">
        <x:v>2A002</x:v>
      </x:c>
      <x:c r="B438" t="str">
        <x:v>2º ano</x:v>
      </x:c>
      <x:c r="C438" t="str">
        <x:v>contraprova</x:v>
      </x:c>
      <x:c r="D438" t="str">
        <x:v>H05</x:v>
      </x:c>
      <x:c r="E438" t="n">
        <x:v>1</x:v>
      </x:c>
      <x:c r="F438" t="n">
        <x:v>2</x:v>
      </x:c>
      <x:c r="G438" t="n">
        <x:f>F438-E438</x:f>
        <x:v>1</x:v>
      </x:c>
      <x:c r="H438" s="2" t="n">
        <x:f>IFERROR(E438/F438,0)</x:f>
        <x:v>0.5</x:v>
      </x:c>
      <x:c r="I438" t="str">
        <x:v>Intermediário</x:v>
      </x:c>
      <x:c r="J438" t="str">
        <x:v>CAEd_DadosExportados (2).zip</x:v>
      </x:c>
    </x:row>
    <x:row r="439">
      <x:c r="A439" t="str">
        <x:v>2A002</x:v>
      </x:c>
      <x:c r="B439" t="str">
        <x:v>2º ano</x:v>
      </x:c>
      <x:c r="C439" t="str">
        <x:v>contraprova</x:v>
      </x:c>
      <x:c r="D439" t="str">
        <x:v>H06</x:v>
      </x:c>
      <x:c r="E439" t="n">
        <x:v>2</x:v>
      </x:c>
      <x:c r="F439" t="n">
        <x:v>2</x:v>
      </x:c>
      <x:c r="G439" t="n">
        <x:f>F439-E439</x:f>
        <x:v>0</x:v>
      </x:c>
      <x:c r="H439" s="2" t="n">
        <x:f>IFERROR(E439/F439,0)</x:f>
        <x:v>1</x:v>
      </x:c>
      <x:c r="I439" t="str">
        <x:v>Intermediário</x:v>
      </x:c>
      <x:c r="J439" t="str">
        <x:v>CAEd_DadosExportados (2).zip</x:v>
      </x:c>
    </x:row>
    <x:row r="440">
      <x:c r="A440" t="str">
        <x:v>2A002</x:v>
      </x:c>
      <x:c r="B440" t="str">
        <x:v>2º ano</x:v>
      </x:c>
      <x:c r="C440" t="str">
        <x:v>contraprova</x:v>
      </x:c>
      <x:c r="D440" t="str">
        <x:v>H07</x:v>
      </x:c>
      <x:c r="E440" t="n">
        <x:v>1</x:v>
      </x:c>
      <x:c r="F440" t="n">
        <x:v>2</x:v>
      </x:c>
      <x:c r="G440" t="n">
        <x:f>F440-E440</x:f>
        <x:v>1</x:v>
      </x:c>
      <x:c r="H440" s="2" t="n">
        <x:f>IFERROR(E440/F440,0)</x:f>
        <x:v>0.5</x:v>
      </x:c>
      <x:c r="I440" t="str">
        <x:v>Intermediário</x:v>
      </x:c>
      <x:c r="J440" t="str">
        <x:v>CAEd_DadosExportados (2).zip</x:v>
      </x:c>
    </x:row>
    <x:row r="441">
      <x:c r="A441" t="str">
        <x:v>2A002</x:v>
      </x:c>
      <x:c r="B441" t="str">
        <x:v>2º ano</x:v>
      </x:c>
      <x:c r="C441" t="str">
        <x:v>contraprova</x:v>
      </x:c>
      <x:c r="D441" t="str">
        <x:v>H08</x:v>
      </x:c>
      <x:c r="E441" t="n">
        <x:v>1</x:v>
      </x:c>
      <x:c r="F441" t="n">
        <x:v>2</x:v>
      </x:c>
      <x:c r="G441" t="n">
        <x:f>F441-E441</x:f>
        <x:v>1</x:v>
      </x:c>
      <x:c r="H441" s="2" t="n">
        <x:f>IFERROR(E441/F441,0)</x:f>
        <x:v>0.5</x:v>
      </x:c>
      <x:c r="I441" t="str">
        <x:v>Intermediário</x:v>
      </x:c>
      <x:c r="J441" t="str">
        <x:v>CAEd_DadosExportados (2).zip</x:v>
      </x:c>
    </x:row>
    <x:row r="442">
      <x:c r="A442" t="str">
        <x:v>2A002</x:v>
      </x:c>
      <x:c r="B442" t="str">
        <x:v>2º ano</x:v>
      </x:c>
      <x:c r="C442" t="str">
        <x:v>contraprova</x:v>
      </x:c>
      <x:c r="D442" t="str">
        <x:v>H09</x:v>
      </x:c>
      <x:c r="E442" t="n">
        <x:v>2</x:v>
      </x:c>
      <x:c r="F442" t="n">
        <x:v>2</x:v>
      </x:c>
      <x:c r="G442" t="n">
        <x:f>F442-E442</x:f>
        <x:v>0</x:v>
      </x:c>
      <x:c r="H442" s="2" t="n">
        <x:f>IFERROR(E442/F442,0)</x:f>
        <x:v>1</x:v>
      </x:c>
      <x:c r="I442" t="str">
        <x:v>Intermediário</x:v>
      </x:c>
      <x:c r="J442" t="str">
        <x:v>CAEd_DadosExportados (2).zip</x:v>
      </x:c>
    </x:row>
    <x:row r="443">
      <x:c r="A443" t="str">
        <x:v>2A002</x:v>
      </x:c>
      <x:c r="B443" t="str">
        <x:v>2º ano</x:v>
      </x:c>
      <x:c r="C443" t="str">
        <x:v>contraprova</x:v>
      </x:c>
      <x:c r="D443" t="str">
        <x:v>H10</x:v>
      </x:c>
      <x:c r="E443" t="n">
        <x:v>2</x:v>
      </x:c>
      <x:c r="F443" t="n">
        <x:v>2</x:v>
      </x:c>
      <x:c r="G443" t="n">
        <x:f>F443-E443</x:f>
        <x:v>0</x:v>
      </x:c>
      <x:c r="H443" s="2" t="n">
        <x:f>IFERROR(E443/F443,0)</x:f>
        <x:v>1</x:v>
      </x:c>
      <x:c r="I443" t="str">
        <x:v>Intermediário</x:v>
      </x:c>
      <x:c r="J443" t="str">
        <x:v>CAEd_DadosExportados (2).zip</x:v>
      </x:c>
    </x:row>
    <x:row r="444">
      <x:c r="A444" t="str">
        <x:v>2A002</x:v>
      </x:c>
      <x:c r="B444" t="str">
        <x:v>2º ano</x:v>
      </x:c>
      <x:c r="C444" t="str">
        <x:v>contraprova</x:v>
      </x:c>
      <x:c r="D444" t="str">
        <x:v>H11</x:v>
      </x:c>
      <x:c r="E444" t="n">
        <x:v>2</x:v>
      </x:c>
      <x:c r="F444" t="n">
        <x:v>2</x:v>
      </x:c>
      <x:c r="G444" t="n">
        <x:f>F444-E444</x:f>
        <x:v>0</x:v>
      </x:c>
      <x:c r="H444" s="2" t="n">
        <x:f>IFERROR(E444/F444,0)</x:f>
        <x:v>1</x:v>
      </x:c>
      <x:c r="I444" t="str">
        <x:v>Intermediário</x:v>
      </x:c>
      <x:c r="J444" t="str">
        <x:v>CAEd_DadosExportados (2).zip</x:v>
      </x:c>
    </x:row>
    <x:row r="445">
      <x:c r="A445" t="str">
        <x:v>2A002</x:v>
      </x:c>
      <x:c r="B445" t="str">
        <x:v>2º ano</x:v>
      </x:c>
      <x:c r="C445" t="str">
        <x:v>referencia</x:v>
      </x:c>
      <x:c r="D445" t="str">
        <x:v>H01</x:v>
      </x:c>
      <x:c r="E445" t="n">
        <x:v>0</x:v>
      </x:c>
      <x:c r="F445" t="n">
        <x:v>2</x:v>
      </x:c>
      <x:c r="G445" t="n">
        <x:f>F445-E445</x:f>
        <x:v>2</x:v>
      </x:c>
      <x:c r="H445" s="2" t="n">
        <x:f>IFERROR(E445/F445,0)</x:f>
        <x:v>0</x:v>
      </x:c>
      <x:c r="I445" t="str">
        <x:v>Intermediário</x:v>
      </x:c>
      <x:c r="J445" t="str">
        <x:v>CAEd_DadosExportados (1).zip</x:v>
      </x:c>
    </x:row>
    <x:row r="446">
      <x:c r="A446" t="str">
        <x:v>2A002</x:v>
      </x:c>
      <x:c r="B446" t="str">
        <x:v>2º ano</x:v>
      </x:c>
      <x:c r="C446" t="str">
        <x:v>referencia</x:v>
      </x:c>
      <x:c r="D446" t="str">
        <x:v>H02</x:v>
      </x:c>
      <x:c r="E446" t="n">
        <x:v>2</x:v>
      </x:c>
      <x:c r="F446" t="n">
        <x:v>2</x:v>
      </x:c>
      <x:c r="G446" t="n">
        <x:f>F446-E446</x:f>
        <x:v>0</x:v>
      </x:c>
      <x:c r="H446" s="2" t="n">
        <x:f>IFERROR(E446/F446,0)</x:f>
        <x:v>1</x:v>
      </x:c>
      <x:c r="I446" t="str">
        <x:v>Intermediário</x:v>
      </x:c>
      <x:c r="J446" t="str">
        <x:v>CAEd_DadosExportados (1).zip</x:v>
      </x:c>
    </x:row>
    <x:row r="447">
      <x:c r="A447" t="str">
        <x:v>2A002</x:v>
      </x:c>
      <x:c r="B447" t="str">
        <x:v>2º ano</x:v>
      </x:c>
      <x:c r="C447" t="str">
        <x:v>referencia</x:v>
      </x:c>
      <x:c r="D447" t="str">
        <x:v>H03</x:v>
      </x:c>
      <x:c r="E447" t="n">
        <x:v>2</x:v>
      </x:c>
      <x:c r="F447" t="n">
        <x:v>2</x:v>
      </x:c>
      <x:c r="G447" t="n">
        <x:f>F447-E447</x:f>
        <x:v>0</x:v>
      </x:c>
      <x:c r="H447" s="2" t="n">
        <x:f>IFERROR(E447/F447,0)</x:f>
        <x:v>1</x:v>
      </x:c>
      <x:c r="I447" t="str">
        <x:v>Intermediário</x:v>
      </x:c>
      <x:c r="J447" t="str">
        <x:v>CAEd_DadosExportados (1).zip</x:v>
      </x:c>
    </x:row>
    <x:row r="448">
      <x:c r="A448" t="str">
        <x:v>2A002</x:v>
      </x:c>
      <x:c r="B448" t="str">
        <x:v>2º ano</x:v>
      </x:c>
      <x:c r="C448" t="str">
        <x:v>referencia</x:v>
      </x:c>
      <x:c r="D448" t="str">
        <x:v>H04</x:v>
      </x:c>
      <x:c r="E448" t="n">
        <x:v>2</x:v>
      </x:c>
      <x:c r="F448" t="n">
        <x:v>2</x:v>
      </x:c>
      <x:c r="G448" t="n">
        <x:f>F448-E448</x:f>
        <x:v>0</x:v>
      </x:c>
      <x:c r="H448" s="2" t="n">
        <x:f>IFERROR(E448/F448,0)</x:f>
        <x:v>1</x:v>
      </x:c>
      <x:c r="I448" t="str">
        <x:v>Intermediário</x:v>
      </x:c>
      <x:c r="J448" t="str">
        <x:v>CAEd_DadosExportados (1).zip</x:v>
      </x:c>
    </x:row>
    <x:row r="449">
      <x:c r="A449" t="str">
        <x:v>2A002</x:v>
      </x:c>
      <x:c r="B449" t="str">
        <x:v>2º ano</x:v>
      </x:c>
      <x:c r="C449" t="str">
        <x:v>referencia</x:v>
      </x:c>
      <x:c r="D449" t="str">
        <x:v>H05</x:v>
      </x:c>
      <x:c r="E449" t="n">
        <x:v>1</x:v>
      </x:c>
      <x:c r="F449" t="n">
        <x:v>1</x:v>
      </x:c>
      <x:c r="G449" t="n">
        <x:f>F449-E449</x:f>
        <x:v>0</x:v>
      </x:c>
      <x:c r="H449" s="2" t="n">
        <x:f>IFERROR(E449/F449,0)</x:f>
        <x:v>1</x:v>
      </x:c>
      <x:c r="I449" t="str">
        <x:v>Intermediário</x:v>
      </x:c>
      <x:c r="J449" t="str">
        <x:v>CAEd_DadosExportados (1).zip</x:v>
      </x:c>
    </x:row>
    <x:row r="450">
      <x:c r="A450" t="str">
        <x:v>2A002</x:v>
      </x:c>
      <x:c r="B450" t="str">
        <x:v>2º ano</x:v>
      </x:c>
      <x:c r="C450" t="str">
        <x:v>referencia</x:v>
      </x:c>
      <x:c r="D450" t="str">
        <x:v>H06</x:v>
      </x:c>
      <x:c r="E450" t="n">
        <x:v>2</x:v>
      </x:c>
      <x:c r="F450" t="n">
        <x:v>2</x:v>
      </x:c>
      <x:c r="G450" t="n">
        <x:f>F450-E450</x:f>
        <x:v>0</x:v>
      </x:c>
      <x:c r="H450" s="2" t="n">
        <x:f>IFERROR(E450/F450,0)</x:f>
        <x:v>1</x:v>
      </x:c>
      <x:c r="I450" t="str">
        <x:v>Intermediário</x:v>
      </x:c>
      <x:c r="J450" t="str">
        <x:v>CAEd_DadosExportados (1).zip</x:v>
      </x:c>
    </x:row>
    <x:row r="451">
      <x:c r="A451" t="str">
        <x:v>2A002</x:v>
      </x:c>
      <x:c r="B451" t="str">
        <x:v>2º ano</x:v>
      </x:c>
      <x:c r="C451" t="str">
        <x:v>referencia</x:v>
      </x:c>
      <x:c r="D451" t="str">
        <x:v>H07</x:v>
      </x:c>
      <x:c r="E451" t="n">
        <x:v>1</x:v>
      </x:c>
      <x:c r="F451" t="n">
        <x:v>2</x:v>
      </x:c>
      <x:c r="G451" t="n">
        <x:f>F451-E451</x:f>
        <x:v>1</x:v>
      </x:c>
      <x:c r="H451" s="2" t="n">
        <x:f>IFERROR(E451/F451,0)</x:f>
        <x:v>0.5</x:v>
      </x:c>
      <x:c r="I451" t="str">
        <x:v>Intermediário</x:v>
      </x:c>
      <x:c r="J451" t="str">
        <x:v>CAEd_DadosExportados (1).zip</x:v>
      </x:c>
    </x:row>
    <x:row r="452">
      <x:c r="A452" t="str">
        <x:v>2A002</x:v>
      </x:c>
      <x:c r="B452" t="str">
        <x:v>2º ano</x:v>
      </x:c>
      <x:c r="C452" t="str">
        <x:v>referencia</x:v>
      </x:c>
      <x:c r="D452" t="str">
        <x:v>H08</x:v>
      </x:c>
      <x:c r="E452" t="n">
        <x:v>0</x:v>
      </x:c>
      <x:c r="F452" t="n">
        <x:v>2</x:v>
      </x:c>
      <x:c r="G452" t="n">
        <x:f>F452-E452</x:f>
        <x:v>2</x:v>
      </x:c>
      <x:c r="H452" s="2" t="n">
        <x:f>IFERROR(E452/F452,0)</x:f>
        <x:v>0</x:v>
      </x:c>
      <x:c r="I452" t="str">
        <x:v>Intermediário</x:v>
      </x:c>
      <x:c r="J452" t="str">
        <x:v>CAEd_DadosExportados (1).zip</x:v>
      </x:c>
    </x:row>
    <x:row r="453">
      <x:c r="A453" t="str">
        <x:v>2A002</x:v>
      </x:c>
      <x:c r="B453" t="str">
        <x:v>2º ano</x:v>
      </x:c>
      <x:c r="C453" t="str">
        <x:v>referencia</x:v>
      </x:c>
      <x:c r="D453" t="str">
        <x:v>H09</x:v>
      </x:c>
      <x:c r="E453" t="n">
        <x:v>1</x:v>
      </x:c>
      <x:c r="F453" t="n">
        <x:v>2</x:v>
      </x:c>
      <x:c r="G453" t="n">
        <x:f>F453-E453</x:f>
        <x:v>1</x:v>
      </x:c>
      <x:c r="H453" s="2" t="n">
        <x:f>IFERROR(E453/F453,0)</x:f>
        <x:v>0.5</x:v>
      </x:c>
      <x:c r="I453" t="str">
        <x:v>Intermediário</x:v>
      </x:c>
      <x:c r="J453" t="str">
        <x:v>CAEd_DadosExportados (1).zip</x:v>
      </x:c>
    </x:row>
    <x:row r="454">
      <x:c r="A454" t="str">
        <x:v>2A002</x:v>
      </x:c>
      <x:c r="B454" t="str">
        <x:v>2º ano</x:v>
      </x:c>
      <x:c r="C454" t="str">
        <x:v>referencia</x:v>
      </x:c>
      <x:c r="D454" t="str">
        <x:v>H10</x:v>
      </x:c>
      <x:c r="E454" t="n">
        <x:v>1</x:v>
      </x:c>
      <x:c r="F454" t="n">
        <x:v>1</x:v>
      </x:c>
      <x:c r="G454" t="n">
        <x:f>F454-E454</x:f>
        <x:v>0</x:v>
      </x:c>
      <x:c r="H454" s="2" t="n">
        <x:f>IFERROR(E454/F454,0)</x:f>
        <x:v>1</x:v>
      </x:c>
      <x:c r="I454" t="str">
        <x:v>Intermediário</x:v>
      </x:c>
      <x:c r="J454" t="str">
        <x:v>CAEd_DadosExportados (1).zip</x:v>
      </x:c>
    </x:row>
    <x:row r="455">
      <x:c r="A455" t="str">
        <x:v>2A002</x:v>
      </x:c>
      <x:c r="B455" t="str">
        <x:v>2º ano</x:v>
      </x:c>
      <x:c r="C455" t="str">
        <x:v>referencia</x:v>
      </x:c>
      <x:c r="D455" t="str">
        <x:v>H11</x:v>
      </x:c>
      <x:c r="E455" t="n">
        <x:v>1</x:v>
      </x:c>
      <x:c r="F455" t="n">
        <x:v>2</x:v>
      </x:c>
      <x:c r="G455" t="n">
        <x:f>F455-E455</x:f>
        <x:v>1</x:v>
      </x:c>
      <x:c r="H455" s="2" t="n">
        <x:f>IFERROR(E455/F455,0)</x:f>
        <x:v>0.5</x:v>
      </x:c>
      <x:c r="I455" t="str">
        <x:v>Intermediário</x:v>
      </x:c>
      <x:c r="J455" t="str">
        <x:v>CAEd_DadosExportados (1).zip</x:v>
      </x:c>
    </x:row>
    <x:row r="456">
      <x:c r="A456" t="str">
        <x:v>2A002</x:v>
      </x:c>
      <x:c r="B456" t="str">
        <x:v>2º ano</x:v>
      </x:c>
      <x:c r="C456" t="str">
        <x:v>referencia</x:v>
      </x:c>
      <x:c r="D456" t="str">
        <x:v>H12</x:v>
      </x:c>
      <x:c r="E456" t="n">
        <x:v>1</x:v>
      </x:c>
      <x:c r="F456" t="n">
        <x:v>1</x:v>
      </x:c>
      <x:c r="G456" t="n">
        <x:f>F456-E456</x:f>
        <x:v>0</x:v>
      </x:c>
      <x:c r="H456" s="2" t="n">
        <x:f>IFERROR(E456/F456,0)</x:f>
        <x:v>1</x:v>
      </x:c>
      <x:c r="I456" t="str">
        <x:v>Intermediário</x:v>
      </x:c>
      <x:c r="J456" t="str">
        <x:v>CAEd_DadosExportados (1).zip</x:v>
      </x:c>
    </x:row>
    <x:row r="457">
      <x:c r="A457" t="str">
        <x:v>2A002</x:v>
      </x:c>
      <x:c r="B457" t="str">
        <x:v>2º ano</x:v>
      </x:c>
      <x:c r="C457" t="str">
        <x:v>referencia</x:v>
      </x:c>
      <x:c r="D457" t="str">
        <x:v>H13</x:v>
      </x:c>
      <x:c r="E457" t="n">
        <x:v>1</x:v>
      </x:c>
      <x:c r="F457" t="n">
        <x:v>1</x:v>
      </x:c>
      <x:c r="G457" t="n">
        <x:f>F457-E457</x:f>
        <x:v>0</x:v>
      </x:c>
      <x:c r="H457" s="2" t="n">
        <x:f>IFERROR(E457/F457,0)</x:f>
        <x:v>1</x:v>
      </x:c>
      <x:c r="I457" t="str">
        <x:v>Intermediário</x:v>
      </x:c>
      <x:c r="J457" t="str">
        <x:v>CAEd_DadosExportados (1).zip</x:v>
      </x:c>
    </x:row>
    <x:row r="458">
      <x:c r="A458" t="str">
        <x:v>2A003</x:v>
      </x:c>
      <x:c r="B458" t="str">
        <x:v>2º ano</x:v>
      </x:c>
      <x:c r="C458" t="str">
        <x:v>contraprova</x:v>
      </x:c>
      <x:c r="D458" t="str">
        <x:v>H01</x:v>
      </x:c>
      <x:c r="E458" t="n">
        <x:v>2</x:v>
      </x:c>
      <x:c r="F458" t="n">
        <x:v>2</x:v>
      </x:c>
      <x:c r="G458" t="n">
        <x:f>F458-E458</x:f>
        <x:v>0</x:v>
      </x:c>
      <x:c r="H458" s="2" t="n">
        <x:f>IFERROR(E458/F458,0)</x:f>
        <x:v>1</x:v>
      </x:c>
      <x:c r="I458" t="str">
        <x:v>Adequado</x:v>
      </x:c>
      <x:c r="J458" t="str">
        <x:v>CAEd_DadosExportados (2).zip</x:v>
      </x:c>
    </x:row>
    <x:row r="459">
      <x:c r="A459" t="str">
        <x:v>2A003</x:v>
      </x:c>
      <x:c r="B459" t="str">
        <x:v>2º ano</x:v>
      </x:c>
      <x:c r="C459" t="str">
        <x:v>contraprova</x:v>
      </x:c>
      <x:c r="D459" t="str">
        <x:v>H02</x:v>
      </x:c>
      <x:c r="E459" t="n">
        <x:v>2</x:v>
      </x:c>
      <x:c r="F459" t="n">
        <x:v>2</x:v>
      </x:c>
      <x:c r="G459" t="n">
        <x:f>F459-E459</x:f>
        <x:v>0</x:v>
      </x:c>
      <x:c r="H459" s="2" t="n">
        <x:f>IFERROR(E459/F459,0)</x:f>
        <x:v>1</x:v>
      </x:c>
      <x:c r="I459" t="str">
        <x:v>Adequado</x:v>
      </x:c>
      <x:c r="J459" t="str">
        <x:v>CAEd_DadosExportados (2).zip</x:v>
      </x:c>
    </x:row>
    <x:row r="460">
      <x:c r="A460" t="str">
        <x:v>2A003</x:v>
      </x:c>
      <x:c r="B460" t="str">
        <x:v>2º ano</x:v>
      </x:c>
      <x:c r="C460" t="str">
        <x:v>contraprova</x:v>
      </x:c>
      <x:c r="D460" t="str">
        <x:v>H03</x:v>
      </x:c>
      <x:c r="E460" t="n">
        <x:v>2</x:v>
      </x:c>
      <x:c r="F460" t="n">
        <x:v>2</x:v>
      </x:c>
      <x:c r="G460" t="n">
        <x:f>F460-E460</x:f>
        <x:v>0</x:v>
      </x:c>
      <x:c r="H460" s="2" t="n">
        <x:f>IFERROR(E460/F460,0)</x:f>
        <x:v>1</x:v>
      </x:c>
      <x:c r="I460" t="str">
        <x:v>Adequado</x:v>
      </x:c>
      <x:c r="J460" t="str">
        <x:v>CAEd_DadosExportados (2).zip</x:v>
      </x:c>
    </x:row>
    <x:row r="461">
      <x:c r="A461" t="str">
        <x:v>2A003</x:v>
      </x:c>
      <x:c r="B461" t="str">
        <x:v>2º ano</x:v>
      </x:c>
      <x:c r="C461" t="str">
        <x:v>contraprova</x:v>
      </x:c>
      <x:c r="D461" t="str">
        <x:v>H04</x:v>
      </x:c>
      <x:c r="E461" t="n">
        <x:v>2</x:v>
      </x:c>
      <x:c r="F461" t="n">
        <x:v>2</x:v>
      </x:c>
      <x:c r="G461" t="n">
        <x:f>F461-E461</x:f>
        <x:v>0</x:v>
      </x:c>
      <x:c r="H461" s="2" t="n">
        <x:f>IFERROR(E461/F461,0)</x:f>
        <x:v>1</x:v>
      </x:c>
      <x:c r="I461" t="str">
        <x:v>Adequado</x:v>
      </x:c>
      <x:c r="J461" t="str">
        <x:v>CAEd_DadosExportados (2).zip</x:v>
      </x:c>
    </x:row>
    <x:row r="462">
      <x:c r="A462" t="str">
        <x:v>2A003</x:v>
      </x:c>
      <x:c r="B462" t="str">
        <x:v>2º ano</x:v>
      </x:c>
      <x:c r="C462" t="str">
        <x:v>contraprova</x:v>
      </x:c>
      <x:c r="D462" t="str">
        <x:v>H05</x:v>
      </x:c>
      <x:c r="E462" t="n">
        <x:v>2</x:v>
      </x:c>
      <x:c r="F462" t="n">
        <x:v>2</x:v>
      </x:c>
      <x:c r="G462" t="n">
        <x:f>F462-E462</x:f>
        <x:v>0</x:v>
      </x:c>
      <x:c r="H462" s="2" t="n">
        <x:f>IFERROR(E462/F462,0)</x:f>
        <x:v>1</x:v>
      </x:c>
      <x:c r="I462" t="str">
        <x:v>Adequado</x:v>
      </x:c>
      <x:c r="J462" t="str">
        <x:v>CAEd_DadosExportados (2).zip</x:v>
      </x:c>
    </x:row>
    <x:row r="463">
      <x:c r="A463" t="str">
        <x:v>2A003</x:v>
      </x:c>
      <x:c r="B463" t="str">
        <x:v>2º ano</x:v>
      </x:c>
      <x:c r="C463" t="str">
        <x:v>contraprova</x:v>
      </x:c>
      <x:c r="D463" t="str">
        <x:v>H06</x:v>
      </x:c>
      <x:c r="E463" t="n">
        <x:v>2</x:v>
      </x:c>
      <x:c r="F463" t="n">
        <x:v>2</x:v>
      </x:c>
      <x:c r="G463" t="n">
        <x:f>F463-E463</x:f>
        <x:v>0</x:v>
      </x:c>
      <x:c r="H463" s="2" t="n">
        <x:f>IFERROR(E463/F463,0)</x:f>
        <x:v>1</x:v>
      </x:c>
      <x:c r="I463" t="str">
        <x:v>Adequado</x:v>
      </x:c>
      <x:c r="J463" t="str">
        <x:v>CAEd_DadosExportados (2).zip</x:v>
      </x:c>
    </x:row>
    <x:row r="464">
      <x:c r="A464" t="str">
        <x:v>2A003</x:v>
      </x:c>
      <x:c r="B464" t="str">
        <x:v>2º ano</x:v>
      </x:c>
      <x:c r="C464" t="str">
        <x:v>contraprova</x:v>
      </x:c>
      <x:c r="D464" t="str">
        <x:v>H07</x:v>
      </x:c>
      <x:c r="E464" t="n">
        <x:v>2</x:v>
      </x:c>
      <x:c r="F464" t="n">
        <x:v>2</x:v>
      </x:c>
      <x:c r="G464" t="n">
        <x:f>F464-E464</x:f>
        <x:v>0</x:v>
      </x:c>
      <x:c r="H464" s="2" t="n">
        <x:f>IFERROR(E464/F464,0)</x:f>
        <x:v>1</x:v>
      </x:c>
      <x:c r="I464" t="str">
        <x:v>Adequado</x:v>
      </x:c>
      <x:c r="J464" t="str">
        <x:v>CAEd_DadosExportados (2).zip</x:v>
      </x:c>
    </x:row>
    <x:row r="465">
      <x:c r="A465" t="str">
        <x:v>2A003</x:v>
      </x:c>
      <x:c r="B465" t="str">
        <x:v>2º ano</x:v>
      </x:c>
      <x:c r="C465" t="str">
        <x:v>contraprova</x:v>
      </x:c>
      <x:c r="D465" t="str">
        <x:v>H08</x:v>
      </x:c>
      <x:c r="E465" t="n">
        <x:v>2</x:v>
      </x:c>
      <x:c r="F465" t="n">
        <x:v>2</x:v>
      </x:c>
      <x:c r="G465" t="n">
        <x:f>F465-E465</x:f>
        <x:v>0</x:v>
      </x:c>
      <x:c r="H465" s="2" t="n">
        <x:f>IFERROR(E465/F465,0)</x:f>
        <x:v>1</x:v>
      </x:c>
      <x:c r="I465" t="str">
        <x:v>Adequado</x:v>
      </x:c>
      <x:c r="J465" t="str">
        <x:v>CAEd_DadosExportados (2).zip</x:v>
      </x:c>
    </x:row>
    <x:row r="466">
      <x:c r="A466" t="str">
        <x:v>2A003</x:v>
      </x:c>
      <x:c r="B466" t="str">
        <x:v>2º ano</x:v>
      </x:c>
      <x:c r="C466" t="str">
        <x:v>contraprova</x:v>
      </x:c>
      <x:c r="D466" t="str">
        <x:v>H09</x:v>
      </x:c>
      <x:c r="E466" t="n">
        <x:v>2</x:v>
      </x:c>
      <x:c r="F466" t="n">
        <x:v>2</x:v>
      </x:c>
      <x:c r="G466" t="n">
        <x:f>F466-E466</x:f>
        <x:v>0</x:v>
      </x:c>
      <x:c r="H466" s="2" t="n">
        <x:f>IFERROR(E466/F466,0)</x:f>
        <x:v>1</x:v>
      </x:c>
      <x:c r="I466" t="str">
        <x:v>Adequado</x:v>
      </x:c>
      <x:c r="J466" t="str">
        <x:v>CAEd_DadosExportados (2).zip</x:v>
      </x:c>
    </x:row>
    <x:row r="467">
      <x:c r="A467" t="str">
        <x:v>2A003</x:v>
      </x:c>
      <x:c r="B467" t="str">
        <x:v>2º ano</x:v>
      </x:c>
      <x:c r="C467" t="str">
        <x:v>contraprova</x:v>
      </x:c>
      <x:c r="D467" t="str">
        <x:v>H10</x:v>
      </x:c>
      <x:c r="E467" t="n">
        <x:v>2</x:v>
      </x:c>
      <x:c r="F467" t="n">
        <x:v>2</x:v>
      </x:c>
      <x:c r="G467" t="n">
        <x:f>F467-E467</x:f>
        <x:v>0</x:v>
      </x:c>
      <x:c r="H467" s="2" t="n">
        <x:f>IFERROR(E467/F467,0)</x:f>
        <x:v>1</x:v>
      </x:c>
      <x:c r="I467" t="str">
        <x:v>Adequado</x:v>
      </x:c>
      <x:c r="J467" t="str">
        <x:v>CAEd_DadosExportados (2).zip</x:v>
      </x:c>
    </x:row>
    <x:row r="468">
      <x:c r="A468" t="str">
        <x:v>2A003</x:v>
      </x:c>
      <x:c r="B468" t="str">
        <x:v>2º ano</x:v>
      </x:c>
      <x:c r="C468" t="str">
        <x:v>contraprova</x:v>
      </x:c>
      <x:c r="D468" t="str">
        <x:v>H11</x:v>
      </x:c>
      <x:c r="E468" t="n">
        <x:v>2</x:v>
      </x:c>
      <x:c r="F468" t="n">
        <x:v>2</x:v>
      </x:c>
      <x:c r="G468" t="n">
        <x:f>F468-E468</x:f>
        <x:v>0</x:v>
      </x:c>
      <x:c r="H468" s="2" t="n">
        <x:f>IFERROR(E468/F468,0)</x:f>
        <x:v>1</x:v>
      </x:c>
      <x:c r="I468" t="str">
        <x:v>Adequado</x:v>
      </x:c>
      <x:c r="J468" t="str">
        <x:v>CAEd_DadosExportados (2).zip</x:v>
      </x:c>
    </x:row>
    <x:row r="469">
      <x:c r="A469" t="str">
        <x:v>2A003</x:v>
      </x:c>
      <x:c r="B469" t="str">
        <x:v>2º ano</x:v>
      </x:c>
      <x:c r="C469" t="str">
        <x:v>referencia</x:v>
      </x:c>
      <x:c r="D469" t="str">
        <x:v>H01</x:v>
      </x:c>
      <x:c r="E469" t="n">
        <x:v>2</x:v>
      </x:c>
      <x:c r="F469" t="n">
        <x:v>2</x:v>
      </x:c>
      <x:c r="G469" t="n">
        <x:f>F469-E469</x:f>
        <x:v>0</x:v>
      </x:c>
      <x:c r="H469" s="2" t="n">
        <x:f>IFERROR(E469/F469,0)</x:f>
        <x:v>1</x:v>
      </x:c>
      <x:c r="I469" t="str">
        <x:v>Adequado</x:v>
      </x:c>
      <x:c r="J469" t="str">
        <x:v>CAEd_DadosExportados (1).zip</x:v>
      </x:c>
    </x:row>
    <x:row r="470">
      <x:c r="A470" t="str">
        <x:v>2A003</x:v>
      </x:c>
      <x:c r="B470" t="str">
        <x:v>2º ano</x:v>
      </x:c>
      <x:c r="C470" t="str">
        <x:v>referencia</x:v>
      </x:c>
      <x:c r="D470" t="str">
        <x:v>H02</x:v>
      </x:c>
      <x:c r="E470" t="n">
        <x:v>1</x:v>
      </x:c>
      <x:c r="F470" t="n">
        <x:v>2</x:v>
      </x:c>
      <x:c r="G470" t="n">
        <x:f>F470-E470</x:f>
        <x:v>1</x:v>
      </x:c>
      <x:c r="H470" s="2" t="n">
        <x:f>IFERROR(E470/F470,0)</x:f>
        <x:v>0.5</x:v>
      </x:c>
      <x:c r="I470" t="str">
        <x:v>Adequado</x:v>
      </x:c>
      <x:c r="J470" t="str">
        <x:v>CAEd_DadosExportados (1).zip</x:v>
      </x:c>
    </x:row>
    <x:row r="471">
      <x:c r="A471" t="str">
        <x:v>2A003</x:v>
      </x:c>
      <x:c r="B471" t="str">
        <x:v>2º ano</x:v>
      </x:c>
      <x:c r="C471" t="str">
        <x:v>referencia</x:v>
      </x:c>
      <x:c r="D471" t="str">
        <x:v>H03</x:v>
      </x:c>
      <x:c r="E471" t="n">
        <x:v>2</x:v>
      </x:c>
      <x:c r="F471" t="n">
        <x:v>2</x:v>
      </x:c>
      <x:c r="G471" t="n">
        <x:f>F471-E471</x:f>
        <x:v>0</x:v>
      </x:c>
      <x:c r="H471" s="2" t="n">
        <x:f>IFERROR(E471/F471,0)</x:f>
        <x:v>1</x:v>
      </x:c>
      <x:c r="I471" t="str">
        <x:v>Adequado</x:v>
      </x:c>
      <x:c r="J471" t="str">
        <x:v>CAEd_DadosExportados (1).zip</x:v>
      </x:c>
    </x:row>
    <x:row r="472">
      <x:c r="A472" t="str">
        <x:v>2A003</x:v>
      </x:c>
      <x:c r="B472" t="str">
        <x:v>2º ano</x:v>
      </x:c>
      <x:c r="C472" t="str">
        <x:v>referencia</x:v>
      </x:c>
      <x:c r="D472" t="str">
        <x:v>H04</x:v>
      </x:c>
      <x:c r="E472" t="n">
        <x:v>2</x:v>
      </x:c>
      <x:c r="F472" t="n">
        <x:v>2</x:v>
      </x:c>
      <x:c r="G472" t="n">
        <x:f>F472-E472</x:f>
        <x:v>0</x:v>
      </x:c>
      <x:c r="H472" s="2" t="n">
        <x:f>IFERROR(E472/F472,0)</x:f>
        <x:v>1</x:v>
      </x:c>
      <x:c r="I472" t="str">
        <x:v>Adequado</x:v>
      </x:c>
      <x:c r="J472" t="str">
        <x:v>CAEd_DadosExportados (1).zip</x:v>
      </x:c>
    </x:row>
    <x:row r="473">
      <x:c r="A473" t="str">
        <x:v>2A003</x:v>
      </x:c>
      <x:c r="B473" t="str">
        <x:v>2º ano</x:v>
      </x:c>
      <x:c r="C473" t="str">
        <x:v>referencia</x:v>
      </x:c>
      <x:c r="D473" t="str">
        <x:v>H05</x:v>
      </x:c>
      <x:c r="E473" t="n">
        <x:v>1</x:v>
      </x:c>
      <x:c r="F473" t="n">
        <x:v>1</x:v>
      </x:c>
      <x:c r="G473" t="n">
        <x:f>F473-E473</x:f>
        <x:v>0</x:v>
      </x:c>
      <x:c r="H473" s="2" t="n">
        <x:f>IFERROR(E473/F473,0)</x:f>
        <x:v>1</x:v>
      </x:c>
      <x:c r="I473" t="str">
        <x:v>Adequado</x:v>
      </x:c>
      <x:c r="J473" t="str">
        <x:v>CAEd_DadosExportados (1).zip</x:v>
      </x:c>
    </x:row>
    <x:row r="474">
      <x:c r="A474" t="str">
        <x:v>2A003</x:v>
      </x:c>
      <x:c r="B474" t="str">
        <x:v>2º ano</x:v>
      </x:c>
      <x:c r="C474" t="str">
        <x:v>referencia</x:v>
      </x:c>
      <x:c r="D474" t="str">
        <x:v>H06</x:v>
      </x:c>
      <x:c r="E474" t="n">
        <x:v>1</x:v>
      </x:c>
      <x:c r="F474" t="n">
        <x:v>2</x:v>
      </x:c>
      <x:c r="G474" t="n">
        <x:f>F474-E474</x:f>
        <x:v>1</x:v>
      </x:c>
      <x:c r="H474" s="2" t="n">
        <x:f>IFERROR(E474/F474,0)</x:f>
        <x:v>0.5</x:v>
      </x:c>
      <x:c r="I474" t="str">
        <x:v>Adequado</x:v>
      </x:c>
      <x:c r="J474" t="str">
        <x:v>CAEd_DadosExportados (1).zip</x:v>
      </x:c>
    </x:row>
    <x:row r="475">
      <x:c r="A475" t="str">
        <x:v>2A003</x:v>
      </x:c>
      <x:c r="B475" t="str">
        <x:v>2º ano</x:v>
      </x:c>
      <x:c r="C475" t="str">
        <x:v>referencia</x:v>
      </x:c>
      <x:c r="D475" t="str">
        <x:v>H07</x:v>
      </x:c>
      <x:c r="E475" t="n">
        <x:v>2</x:v>
      </x:c>
      <x:c r="F475" t="n">
        <x:v>2</x:v>
      </x:c>
      <x:c r="G475" t="n">
        <x:f>F475-E475</x:f>
        <x:v>0</x:v>
      </x:c>
      <x:c r="H475" s="2" t="n">
        <x:f>IFERROR(E475/F475,0)</x:f>
        <x:v>1</x:v>
      </x:c>
      <x:c r="I475" t="str">
        <x:v>Adequado</x:v>
      </x:c>
      <x:c r="J475" t="str">
        <x:v>CAEd_DadosExportados (1).zip</x:v>
      </x:c>
    </x:row>
    <x:row r="476">
      <x:c r="A476" t="str">
        <x:v>2A003</x:v>
      </x:c>
      <x:c r="B476" t="str">
        <x:v>2º ano</x:v>
      </x:c>
      <x:c r="C476" t="str">
        <x:v>referencia</x:v>
      </x:c>
      <x:c r="D476" t="str">
        <x:v>H08</x:v>
      </x:c>
      <x:c r="E476" t="n">
        <x:v>2</x:v>
      </x:c>
      <x:c r="F476" t="n">
        <x:v>2</x:v>
      </x:c>
      <x:c r="G476" t="n">
        <x:f>F476-E476</x:f>
        <x:v>0</x:v>
      </x:c>
      <x:c r="H476" s="2" t="n">
        <x:f>IFERROR(E476/F476,0)</x:f>
        <x:v>1</x:v>
      </x:c>
      <x:c r="I476" t="str">
        <x:v>Adequado</x:v>
      </x:c>
      <x:c r="J476" t="str">
        <x:v>CAEd_DadosExportados (1).zip</x:v>
      </x:c>
    </x:row>
    <x:row r="477">
      <x:c r="A477" t="str">
        <x:v>2A003</x:v>
      </x:c>
      <x:c r="B477" t="str">
        <x:v>2º ano</x:v>
      </x:c>
      <x:c r="C477" t="str">
        <x:v>referencia</x:v>
      </x:c>
      <x:c r="D477" t="str">
        <x:v>H09</x:v>
      </x:c>
      <x:c r="E477" t="n">
        <x:v>2</x:v>
      </x:c>
      <x:c r="F477" t="n">
        <x:v>2</x:v>
      </x:c>
      <x:c r="G477" t="n">
        <x:f>F477-E477</x:f>
        <x:v>0</x:v>
      </x:c>
      <x:c r="H477" s="2" t="n">
        <x:f>IFERROR(E477/F477,0)</x:f>
        <x:v>1</x:v>
      </x:c>
      <x:c r="I477" t="str">
        <x:v>Adequado</x:v>
      </x:c>
      <x:c r="J477" t="str">
        <x:v>CAEd_DadosExportados (1).zip</x:v>
      </x:c>
    </x:row>
    <x:row r="478">
      <x:c r="A478" t="str">
        <x:v>2A003</x:v>
      </x:c>
      <x:c r="B478" t="str">
        <x:v>2º ano</x:v>
      </x:c>
      <x:c r="C478" t="str">
        <x:v>referencia</x:v>
      </x:c>
      <x:c r="D478" t="str">
        <x:v>H10</x:v>
      </x:c>
      <x:c r="E478" t="n">
        <x:v>1</x:v>
      </x:c>
      <x:c r="F478" t="n">
        <x:v>1</x:v>
      </x:c>
      <x:c r="G478" t="n">
        <x:f>F478-E478</x:f>
        <x:v>0</x:v>
      </x:c>
      <x:c r="H478" s="2" t="n">
        <x:f>IFERROR(E478/F478,0)</x:f>
        <x:v>1</x:v>
      </x:c>
      <x:c r="I478" t="str">
        <x:v>Adequado</x:v>
      </x:c>
      <x:c r="J478" t="str">
        <x:v>CAEd_DadosExportados (1).zip</x:v>
      </x:c>
    </x:row>
    <x:row r="479">
      <x:c r="A479" t="str">
        <x:v>2A003</x:v>
      </x:c>
      <x:c r="B479" t="str">
        <x:v>2º ano</x:v>
      </x:c>
      <x:c r="C479" t="str">
        <x:v>referencia</x:v>
      </x:c>
      <x:c r="D479" t="str">
        <x:v>H11</x:v>
      </x:c>
      <x:c r="E479" t="n">
        <x:v>2</x:v>
      </x:c>
      <x:c r="F479" t="n">
        <x:v>2</x:v>
      </x:c>
      <x:c r="G479" t="n">
        <x:f>F479-E479</x:f>
        <x:v>0</x:v>
      </x:c>
      <x:c r="H479" s="2" t="n">
        <x:f>IFERROR(E479/F479,0)</x:f>
        <x:v>1</x:v>
      </x:c>
      <x:c r="I479" t="str">
        <x:v>Adequado</x:v>
      </x:c>
      <x:c r="J479" t="str">
        <x:v>CAEd_DadosExportados (1).zip</x:v>
      </x:c>
    </x:row>
    <x:row r="480">
      <x:c r="A480" t="str">
        <x:v>2A003</x:v>
      </x:c>
      <x:c r="B480" t="str">
        <x:v>2º ano</x:v>
      </x:c>
      <x:c r="C480" t="str">
        <x:v>referencia</x:v>
      </x:c>
      <x:c r="D480" t="str">
        <x:v>H12</x:v>
      </x:c>
      <x:c r="E480" t="n">
        <x:v>1</x:v>
      </x:c>
      <x:c r="F480" t="n">
        <x:v>1</x:v>
      </x:c>
      <x:c r="G480" t="n">
        <x:f>F480-E480</x:f>
        <x:v>0</x:v>
      </x:c>
      <x:c r="H480" s="2" t="n">
        <x:f>IFERROR(E480/F480,0)</x:f>
        <x:v>1</x:v>
      </x:c>
      <x:c r="I480" t="str">
        <x:v>Adequado</x:v>
      </x:c>
      <x:c r="J480" t="str">
        <x:v>CAEd_DadosExportados (1).zip</x:v>
      </x:c>
    </x:row>
    <x:row r="481">
      <x:c r="A481" t="str">
        <x:v>2A003</x:v>
      </x:c>
      <x:c r="B481" t="str">
        <x:v>2º ano</x:v>
      </x:c>
      <x:c r="C481" t="str">
        <x:v>referencia</x:v>
      </x:c>
      <x:c r="D481" t="str">
        <x:v>H13</x:v>
      </x:c>
      <x:c r="E481" t="n">
        <x:v>0</x:v>
      </x:c>
      <x:c r="F481" t="n">
        <x:v>1</x:v>
      </x:c>
      <x:c r="G481" t="n">
        <x:f>F481-E481</x:f>
        <x:v>1</x:v>
      </x:c>
      <x:c r="H481" s="2" t="n">
        <x:f>IFERROR(E481/F481,0)</x:f>
        <x:v>0</x:v>
      </x:c>
      <x:c r="I481" t="str">
        <x:v>Adequado</x:v>
      </x:c>
      <x:c r="J481" t="str">
        <x:v>CAEd_DadosExportados (1).zip</x:v>
      </x:c>
    </x:row>
    <x:row r="482">
      <x:c r="A482" t="str">
        <x:v>2A004</x:v>
      </x:c>
      <x:c r="B482" t="str">
        <x:v>2º ano</x:v>
      </x:c>
      <x:c r="C482" t="str">
        <x:v>contraprova</x:v>
      </x:c>
      <x:c r="D482" t="str">
        <x:v>H01</x:v>
      </x:c>
      <x:c r="E482" t="n">
        <x:v>2</x:v>
      </x:c>
      <x:c r="F482" t="n">
        <x:v>2</x:v>
      </x:c>
      <x:c r="G482" t="n">
        <x:f>F482-E482</x:f>
        <x:v>0</x:v>
      </x:c>
      <x:c r="H482" s="2" t="n">
        <x:f>IFERROR(E482/F482,0)</x:f>
        <x:v>1</x:v>
      </x:c>
      <x:c r="I482" t="str">
        <x:v>Adequado</x:v>
      </x:c>
      <x:c r="J482" t="str">
        <x:v>CAEd_DadosExportados (2).zip</x:v>
      </x:c>
    </x:row>
    <x:row r="483">
      <x:c r="A483" t="str">
        <x:v>2A004</x:v>
      </x:c>
      <x:c r="B483" t="str">
        <x:v>2º ano</x:v>
      </x:c>
      <x:c r="C483" t="str">
        <x:v>contraprova</x:v>
      </x:c>
      <x:c r="D483" t="str">
        <x:v>H02</x:v>
      </x:c>
      <x:c r="E483" t="n">
        <x:v>2</x:v>
      </x:c>
      <x:c r="F483" t="n">
        <x:v>2</x:v>
      </x:c>
      <x:c r="G483" t="n">
        <x:f>F483-E483</x:f>
        <x:v>0</x:v>
      </x:c>
      <x:c r="H483" s="2" t="n">
        <x:f>IFERROR(E483/F483,0)</x:f>
        <x:v>1</x:v>
      </x:c>
      <x:c r="I483" t="str">
        <x:v>Adequado</x:v>
      </x:c>
      <x:c r="J483" t="str">
        <x:v>CAEd_DadosExportados (2).zip</x:v>
      </x:c>
    </x:row>
    <x:row r="484">
      <x:c r="A484" t="str">
        <x:v>2A004</x:v>
      </x:c>
      <x:c r="B484" t="str">
        <x:v>2º ano</x:v>
      </x:c>
      <x:c r="C484" t="str">
        <x:v>contraprova</x:v>
      </x:c>
      <x:c r="D484" t="str">
        <x:v>H03</x:v>
      </x:c>
      <x:c r="E484" t="n">
        <x:v>2</x:v>
      </x:c>
      <x:c r="F484" t="n">
        <x:v>2</x:v>
      </x:c>
      <x:c r="G484" t="n">
        <x:f>F484-E484</x:f>
        <x:v>0</x:v>
      </x:c>
      <x:c r="H484" s="2" t="n">
        <x:f>IFERROR(E484/F484,0)</x:f>
        <x:v>1</x:v>
      </x:c>
      <x:c r="I484" t="str">
        <x:v>Adequado</x:v>
      </x:c>
      <x:c r="J484" t="str">
        <x:v>CAEd_DadosExportados (2).zip</x:v>
      </x:c>
    </x:row>
    <x:row r="485">
      <x:c r="A485" t="str">
        <x:v>2A004</x:v>
      </x:c>
      <x:c r="B485" t="str">
        <x:v>2º ano</x:v>
      </x:c>
      <x:c r="C485" t="str">
        <x:v>contraprova</x:v>
      </x:c>
      <x:c r="D485" t="str">
        <x:v>H04</x:v>
      </x:c>
      <x:c r="E485" t="n">
        <x:v>2</x:v>
      </x:c>
      <x:c r="F485" t="n">
        <x:v>2</x:v>
      </x:c>
      <x:c r="G485" t="n">
        <x:f>F485-E485</x:f>
        <x:v>0</x:v>
      </x:c>
      <x:c r="H485" s="2" t="n">
        <x:f>IFERROR(E485/F485,0)</x:f>
        <x:v>1</x:v>
      </x:c>
      <x:c r="I485" t="str">
        <x:v>Adequado</x:v>
      </x:c>
      <x:c r="J485" t="str">
        <x:v>CAEd_DadosExportados (2).zip</x:v>
      </x:c>
    </x:row>
    <x:row r="486">
      <x:c r="A486" t="str">
        <x:v>2A004</x:v>
      </x:c>
      <x:c r="B486" t="str">
        <x:v>2º ano</x:v>
      </x:c>
      <x:c r="C486" t="str">
        <x:v>contraprova</x:v>
      </x:c>
      <x:c r="D486" t="str">
        <x:v>H05</x:v>
      </x:c>
      <x:c r="E486" t="n">
        <x:v>2</x:v>
      </x:c>
      <x:c r="F486" t="n">
        <x:v>2</x:v>
      </x:c>
      <x:c r="G486" t="n">
        <x:f>F486-E486</x:f>
        <x:v>0</x:v>
      </x:c>
      <x:c r="H486" s="2" t="n">
        <x:f>IFERROR(E486/F486,0)</x:f>
        <x:v>1</x:v>
      </x:c>
      <x:c r="I486" t="str">
        <x:v>Adequado</x:v>
      </x:c>
      <x:c r="J486" t="str">
        <x:v>CAEd_DadosExportados (2).zip</x:v>
      </x:c>
    </x:row>
    <x:row r="487">
      <x:c r="A487" t="str">
        <x:v>2A004</x:v>
      </x:c>
      <x:c r="B487" t="str">
        <x:v>2º ano</x:v>
      </x:c>
      <x:c r="C487" t="str">
        <x:v>contraprova</x:v>
      </x:c>
      <x:c r="D487" t="str">
        <x:v>H06</x:v>
      </x:c>
      <x:c r="E487" t="n">
        <x:v>2</x:v>
      </x:c>
      <x:c r="F487" t="n">
        <x:v>2</x:v>
      </x:c>
      <x:c r="G487" t="n">
        <x:f>F487-E487</x:f>
        <x:v>0</x:v>
      </x:c>
      <x:c r="H487" s="2" t="n">
        <x:f>IFERROR(E487/F487,0)</x:f>
        <x:v>1</x:v>
      </x:c>
      <x:c r="I487" t="str">
        <x:v>Adequado</x:v>
      </x:c>
      <x:c r="J487" t="str">
        <x:v>CAEd_DadosExportados (2).zip</x:v>
      </x:c>
    </x:row>
    <x:row r="488">
      <x:c r="A488" t="str">
        <x:v>2A004</x:v>
      </x:c>
      <x:c r="B488" t="str">
        <x:v>2º ano</x:v>
      </x:c>
      <x:c r="C488" t="str">
        <x:v>contraprova</x:v>
      </x:c>
      <x:c r="D488" t="str">
        <x:v>H07</x:v>
      </x:c>
      <x:c r="E488" t="n">
        <x:v>2</x:v>
      </x:c>
      <x:c r="F488" t="n">
        <x:v>2</x:v>
      </x:c>
      <x:c r="G488" t="n">
        <x:f>F488-E488</x:f>
        <x:v>0</x:v>
      </x:c>
      <x:c r="H488" s="2" t="n">
        <x:f>IFERROR(E488/F488,0)</x:f>
        <x:v>1</x:v>
      </x:c>
      <x:c r="I488" t="str">
        <x:v>Adequado</x:v>
      </x:c>
      <x:c r="J488" t="str">
        <x:v>CAEd_DadosExportados (2).zip</x:v>
      </x:c>
    </x:row>
    <x:row r="489">
      <x:c r="A489" t="str">
        <x:v>2A004</x:v>
      </x:c>
      <x:c r="B489" t="str">
        <x:v>2º ano</x:v>
      </x:c>
      <x:c r="C489" t="str">
        <x:v>contraprova</x:v>
      </x:c>
      <x:c r="D489" t="str">
        <x:v>H08</x:v>
      </x:c>
      <x:c r="E489" t="n">
        <x:v>2</x:v>
      </x:c>
      <x:c r="F489" t="n">
        <x:v>2</x:v>
      </x:c>
      <x:c r="G489" t="n">
        <x:f>F489-E489</x:f>
        <x:v>0</x:v>
      </x:c>
      <x:c r="H489" s="2" t="n">
        <x:f>IFERROR(E489/F489,0)</x:f>
        <x:v>1</x:v>
      </x:c>
      <x:c r="I489" t="str">
        <x:v>Adequado</x:v>
      </x:c>
      <x:c r="J489" t="str">
        <x:v>CAEd_DadosExportados (2).zip</x:v>
      </x:c>
    </x:row>
    <x:row r="490">
      <x:c r="A490" t="str">
        <x:v>2A004</x:v>
      </x:c>
      <x:c r="B490" t="str">
        <x:v>2º ano</x:v>
      </x:c>
      <x:c r="C490" t="str">
        <x:v>contraprova</x:v>
      </x:c>
      <x:c r="D490" t="str">
        <x:v>H09</x:v>
      </x:c>
      <x:c r="E490" t="n">
        <x:v>2</x:v>
      </x:c>
      <x:c r="F490" t="n">
        <x:v>2</x:v>
      </x:c>
      <x:c r="G490" t="n">
        <x:f>F490-E490</x:f>
        <x:v>0</x:v>
      </x:c>
      <x:c r="H490" s="2" t="n">
        <x:f>IFERROR(E490/F490,0)</x:f>
        <x:v>1</x:v>
      </x:c>
      <x:c r="I490" t="str">
        <x:v>Adequado</x:v>
      </x:c>
      <x:c r="J490" t="str">
        <x:v>CAEd_DadosExportados (2).zip</x:v>
      </x:c>
    </x:row>
    <x:row r="491">
      <x:c r="A491" t="str">
        <x:v>2A004</x:v>
      </x:c>
      <x:c r="B491" t="str">
        <x:v>2º ano</x:v>
      </x:c>
      <x:c r="C491" t="str">
        <x:v>contraprova</x:v>
      </x:c>
      <x:c r="D491" t="str">
        <x:v>H10</x:v>
      </x:c>
      <x:c r="E491" t="n">
        <x:v>2</x:v>
      </x:c>
      <x:c r="F491" t="n">
        <x:v>2</x:v>
      </x:c>
      <x:c r="G491" t="n">
        <x:f>F491-E491</x:f>
        <x:v>0</x:v>
      </x:c>
      <x:c r="H491" s="2" t="n">
        <x:f>IFERROR(E491/F491,0)</x:f>
        <x:v>1</x:v>
      </x:c>
      <x:c r="I491" t="str">
        <x:v>Adequado</x:v>
      </x:c>
      <x:c r="J491" t="str">
        <x:v>CAEd_DadosExportados (2).zip</x:v>
      </x:c>
    </x:row>
    <x:row r="492">
      <x:c r="A492" t="str">
        <x:v>2A004</x:v>
      </x:c>
      <x:c r="B492" t="str">
        <x:v>2º ano</x:v>
      </x:c>
      <x:c r="C492" t="str">
        <x:v>contraprova</x:v>
      </x:c>
      <x:c r="D492" t="str">
        <x:v>H11</x:v>
      </x:c>
      <x:c r="E492" t="n">
        <x:v>2</x:v>
      </x:c>
      <x:c r="F492" t="n">
        <x:v>2</x:v>
      </x:c>
      <x:c r="G492" t="n">
        <x:f>F492-E492</x:f>
        <x:v>0</x:v>
      </x:c>
      <x:c r="H492" s="2" t="n">
        <x:f>IFERROR(E492/F492,0)</x:f>
        <x:v>1</x:v>
      </x:c>
      <x:c r="I492" t="str">
        <x:v>Adequado</x:v>
      </x:c>
      <x:c r="J492" t="str">
        <x:v>CAEd_DadosExportados (2).zip</x:v>
      </x:c>
    </x:row>
    <x:row r="493">
      <x:c r="A493" t="str">
        <x:v>2A004</x:v>
      </x:c>
      <x:c r="B493" t="str">
        <x:v>2º ano</x:v>
      </x:c>
      <x:c r="C493" t="str">
        <x:v>referencia</x:v>
      </x:c>
      <x:c r="D493" t="str">
        <x:v>H01</x:v>
      </x:c>
      <x:c r="E493" t="n">
        <x:v>1</x:v>
      </x:c>
      <x:c r="F493" t="n">
        <x:v>2</x:v>
      </x:c>
      <x:c r="G493" t="n">
        <x:f>F493-E493</x:f>
        <x:v>1</x:v>
      </x:c>
      <x:c r="H493" s="2" t="n">
        <x:f>IFERROR(E493/F493,0)</x:f>
        <x:v>0.5</x:v>
      </x:c>
      <x:c r="I493" t="str">
        <x:v>Adequado</x:v>
      </x:c>
      <x:c r="J493" t="str">
        <x:v>CAEd_DadosExportados (1).zip</x:v>
      </x:c>
    </x:row>
    <x:row r="494">
      <x:c r="A494" t="str">
        <x:v>2A004</x:v>
      </x:c>
      <x:c r="B494" t="str">
        <x:v>2º ano</x:v>
      </x:c>
      <x:c r="C494" t="str">
        <x:v>referencia</x:v>
      </x:c>
      <x:c r="D494" t="str">
        <x:v>H02</x:v>
      </x:c>
      <x:c r="E494" t="n">
        <x:v>1</x:v>
      </x:c>
      <x:c r="F494" t="n">
        <x:v>2</x:v>
      </x:c>
      <x:c r="G494" t="n">
        <x:f>F494-E494</x:f>
        <x:v>1</x:v>
      </x:c>
      <x:c r="H494" s="2" t="n">
        <x:f>IFERROR(E494/F494,0)</x:f>
        <x:v>0.5</x:v>
      </x:c>
      <x:c r="I494" t="str">
        <x:v>Adequado</x:v>
      </x:c>
      <x:c r="J494" t="str">
        <x:v>CAEd_DadosExportados (1).zip</x:v>
      </x:c>
    </x:row>
    <x:row r="495">
      <x:c r="A495" t="str">
        <x:v>2A004</x:v>
      </x:c>
      <x:c r="B495" t="str">
        <x:v>2º ano</x:v>
      </x:c>
      <x:c r="C495" t="str">
        <x:v>referencia</x:v>
      </x:c>
      <x:c r="D495" t="str">
        <x:v>H03</x:v>
      </x:c>
      <x:c r="E495" t="n">
        <x:v>2</x:v>
      </x:c>
      <x:c r="F495" t="n">
        <x:v>2</x:v>
      </x:c>
      <x:c r="G495" t="n">
        <x:f>F495-E495</x:f>
        <x:v>0</x:v>
      </x:c>
      <x:c r="H495" s="2" t="n">
        <x:f>IFERROR(E495/F495,0)</x:f>
        <x:v>1</x:v>
      </x:c>
      <x:c r="I495" t="str">
        <x:v>Adequado</x:v>
      </x:c>
      <x:c r="J495" t="str">
        <x:v>CAEd_DadosExportados (1).zip</x:v>
      </x:c>
    </x:row>
    <x:row r="496">
      <x:c r="A496" t="str">
        <x:v>2A004</x:v>
      </x:c>
      <x:c r="B496" t="str">
        <x:v>2º ano</x:v>
      </x:c>
      <x:c r="C496" t="str">
        <x:v>referencia</x:v>
      </x:c>
      <x:c r="D496" t="str">
        <x:v>H04</x:v>
      </x:c>
      <x:c r="E496" t="n">
        <x:v>2</x:v>
      </x:c>
      <x:c r="F496" t="n">
        <x:v>2</x:v>
      </x:c>
      <x:c r="G496" t="n">
        <x:f>F496-E496</x:f>
        <x:v>0</x:v>
      </x:c>
      <x:c r="H496" s="2" t="n">
        <x:f>IFERROR(E496/F496,0)</x:f>
        <x:v>1</x:v>
      </x:c>
      <x:c r="I496" t="str">
        <x:v>Adequado</x:v>
      </x:c>
      <x:c r="J496" t="str">
        <x:v>CAEd_DadosExportados (1).zip</x:v>
      </x:c>
    </x:row>
    <x:row r="497">
      <x:c r="A497" t="str">
        <x:v>2A004</x:v>
      </x:c>
      <x:c r="B497" t="str">
        <x:v>2º ano</x:v>
      </x:c>
      <x:c r="C497" t="str">
        <x:v>referencia</x:v>
      </x:c>
      <x:c r="D497" t="str">
        <x:v>H05</x:v>
      </x:c>
      <x:c r="E497" t="n">
        <x:v>1</x:v>
      </x:c>
      <x:c r="F497" t="n">
        <x:v>1</x:v>
      </x:c>
      <x:c r="G497" t="n">
        <x:f>F497-E497</x:f>
        <x:v>0</x:v>
      </x:c>
      <x:c r="H497" s="2" t="n">
        <x:f>IFERROR(E497/F497,0)</x:f>
        <x:v>1</x:v>
      </x:c>
      <x:c r="I497" t="str">
        <x:v>Adequado</x:v>
      </x:c>
      <x:c r="J497" t="str">
        <x:v>CAEd_DadosExportados (1).zip</x:v>
      </x:c>
    </x:row>
    <x:row r="498">
      <x:c r="A498" t="str">
        <x:v>2A004</x:v>
      </x:c>
      <x:c r="B498" t="str">
        <x:v>2º ano</x:v>
      </x:c>
      <x:c r="C498" t="str">
        <x:v>referencia</x:v>
      </x:c>
      <x:c r="D498" t="str">
        <x:v>H06</x:v>
      </x:c>
      <x:c r="E498" t="n">
        <x:v>1</x:v>
      </x:c>
      <x:c r="F498" t="n">
        <x:v>2</x:v>
      </x:c>
      <x:c r="G498" t="n">
        <x:f>F498-E498</x:f>
        <x:v>1</x:v>
      </x:c>
      <x:c r="H498" s="2" t="n">
        <x:f>IFERROR(E498/F498,0)</x:f>
        <x:v>0.5</x:v>
      </x:c>
      <x:c r="I498" t="str">
        <x:v>Adequado</x:v>
      </x:c>
      <x:c r="J498" t="str">
        <x:v>CAEd_DadosExportados (1).zip</x:v>
      </x:c>
    </x:row>
    <x:row r="499">
      <x:c r="A499" t="str">
        <x:v>2A004</x:v>
      </x:c>
      <x:c r="B499" t="str">
        <x:v>2º ano</x:v>
      </x:c>
      <x:c r="C499" t="str">
        <x:v>referencia</x:v>
      </x:c>
      <x:c r="D499" t="str">
        <x:v>H07</x:v>
      </x:c>
      <x:c r="E499" t="n">
        <x:v>2</x:v>
      </x:c>
      <x:c r="F499" t="n">
        <x:v>2</x:v>
      </x:c>
      <x:c r="G499" t="n">
        <x:f>F499-E499</x:f>
        <x:v>0</x:v>
      </x:c>
      <x:c r="H499" s="2" t="n">
        <x:f>IFERROR(E499/F499,0)</x:f>
        <x:v>1</x:v>
      </x:c>
      <x:c r="I499" t="str">
        <x:v>Adequado</x:v>
      </x:c>
      <x:c r="J499" t="str">
        <x:v>CAEd_DadosExportados (1).zip</x:v>
      </x:c>
    </x:row>
    <x:row r="500">
      <x:c r="A500" t="str">
        <x:v>2A004</x:v>
      </x:c>
      <x:c r="B500" t="str">
        <x:v>2º ano</x:v>
      </x:c>
      <x:c r="C500" t="str">
        <x:v>referencia</x:v>
      </x:c>
      <x:c r="D500" t="str">
        <x:v>H08</x:v>
      </x:c>
      <x:c r="E500" t="n">
        <x:v>2</x:v>
      </x:c>
      <x:c r="F500" t="n">
        <x:v>2</x:v>
      </x:c>
      <x:c r="G500" t="n">
        <x:f>F500-E500</x:f>
        <x:v>0</x:v>
      </x:c>
      <x:c r="H500" s="2" t="n">
        <x:f>IFERROR(E500/F500,0)</x:f>
        <x:v>1</x:v>
      </x:c>
      <x:c r="I500" t="str">
        <x:v>Adequado</x:v>
      </x:c>
      <x:c r="J500" t="str">
        <x:v>CAEd_DadosExportados (1).zip</x:v>
      </x:c>
    </x:row>
    <x:row r="501">
      <x:c r="A501" t="str">
        <x:v>2A004</x:v>
      </x:c>
      <x:c r="B501" t="str">
        <x:v>2º ano</x:v>
      </x:c>
      <x:c r="C501" t="str">
        <x:v>referencia</x:v>
      </x:c>
      <x:c r="D501" t="str">
        <x:v>H09</x:v>
      </x:c>
      <x:c r="E501" t="n">
        <x:v>2</x:v>
      </x:c>
      <x:c r="F501" t="n">
        <x:v>2</x:v>
      </x:c>
      <x:c r="G501" t="n">
        <x:f>F501-E501</x:f>
        <x:v>0</x:v>
      </x:c>
      <x:c r="H501" s="2" t="n">
        <x:f>IFERROR(E501/F501,0)</x:f>
        <x:v>1</x:v>
      </x:c>
      <x:c r="I501" t="str">
        <x:v>Adequado</x:v>
      </x:c>
      <x:c r="J501" t="str">
        <x:v>CAEd_DadosExportados (1).zip</x:v>
      </x:c>
    </x:row>
    <x:row r="502">
      <x:c r="A502" t="str">
        <x:v>2A004</x:v>
      </x:c>
      <x:c r="B502" t="str">
        <x:v>2º ano</x:v>
      </x:c>
      <x:c r="C502" t="str">
        <x:v>referencia</x:v>
      </x:c>
      <x:c r="D502" t="str">
        <x:v>H10</x:v>
      </x:c>
      <x:c r="E502" t="n">
        <x:v>1</x:v>
      </x:c>
      <x:c r="F502" t="n">
        <x:v>1</x:v>
      </x:c>
      <x:c r="G502" t="n">
        <x:f>F502-E502</x:f>
        <x:v>0</x:v>
      </x:c>
      <x:c r="H502" s="2" t="n">
        <x:f>IFERROR(E502/F502,0)</x:f>
        <x:v>1</x:v>
      </x:c>
      <x:c r="I502" t="str">
        <x:v>Adequado</x:v>
      </x:c>
      <x:c r="J502" t="str">
        <x:v>CAEd_DadosExportados (1).zip</x:v>
      </x:c>
    </x:row>
    <x:row r="503">
      <x:c r="A503" t="str">
        <x:v>2A004</x:v>
      </x:c>
      <x:c r="B503" t="str">
        <x:v>2º ano</x:v>
      </x:c>
      <x:c r="C503" t="str">
        <x:v>referencia</x:v>
      </x:c>
      <x:c r="D503" t="str">
        <x:v>H11</x:v>
      </x:c>
      <x:c r="E503" t="n">
        <x:v>2</x:v>
      </x:c>
      <x:c r="F503" t="n">
        <x:v>2</x:v>
      </x:c>
      <x:c r="G503" t="n">
        <x:f>F503-E503</x:f>
        <x:v>0</x:v>
      </x:c>
      <x:c r="H503" s="2" t="n">
        <x:f>IFERROR(E503/F503,0)</x:f>
        <x:v>1</x:v>
      </x:c>
      <x:c r="I503" t="str">
        <x:v>Adequado</x:v>
      </x:c>
      <x:c r="J503" t="str">
        <x:v>CAEd_DadosExportados (1).zip</x:v>
      </x:c>
    </x:row>
    <x:row r="504">
      <x:c r="A504" t="str">
        <x:v>2A004</x:v>
      </x:c>
      <x:c r="B504" t="str">
        <x:v>2º ano</x:v>
      </x:c>
      <x:c r="C504" t="str">
        <x:v>referencia</x:v>
      </x:c>
      <x:c r="D504" t="str">
        <x:v>H12</x:v>
      </x:c>
      <x:c r="E504" t="n">
        <x:v>1</x:v>
      </x:c>
      <x:c r="F504" t="n">
        <x:v>1</x:v>
      </x:c>
      <x:c r="G504" t="n">
        <x:f>F504-E504</x:f>
        <x:v>0</x:v>
      </x:c>
      <x:c r="H504" s="2" t="n">
        <x:f>IFERROR(E504/F504,0)</x:f>
        <x:v>1</x:v>
      </x:c>
      <x:c r="I504" t="str">
        <x:v>Adequado</x:v>
      </x:c>
      <x:c r="J504" t="str">
        <x:v>CAEd_DadosExportados (1).zip</x:v>
      </x:c>
    </x:row>
    <x:row r="505">
      <x:c r="A505" t="str">
        <x:v>2A004</x:v>
      </x:c>
      <x:c r="B505" t="str">
        <x:v>2º ano</x:v>
      </x:c>
      <x:c r="C505" t="str">
        <x:v>referencia</x:v>
      </x:c>
      <x:c r="D505" t="str">
        <x:v>H13</x:v>
      </x:c>
      <x:c r="E505" t="n">
        <x:v>0</x:v>
      </x:c>
      <x:c r="F505" t="n">
        <x:v>1</x:v>
      </x:c>
      <x:c r="G505" t="n">
        <x:f>F505-E505</x:f>
        <x:v>1</x:v>
      </x:c>
      <x:c r="H505" s="2" t="n">
        <x:f>IFERROR(E505/F505,0)</x:f>
        <x:v>0</x:v>
      </x:c>
      <x:c r="I505" t="str">
        <x:v>Adequado</x:v>
      </x:c>
      <x:c r="J505" t="str">
        <x:v>CAEd_DadosExportados (1).zip</x:v>
      </x:c>
    </x:row>
    <x:row r="506">
      <x:c r="A506" t="str">
        <x:v>2A005</x:v>
      </x:c>
      <x:c r="B506" t="str">
        <x:v>2º ano</x:v>
      </x:c>
      <x:c r="C506" t="str">
        <x:v>contraprova</x:v>
      </x:c>
      <x:c r="D506" t="str">
        <x:v>H01</x:v>
      </x:c>
      <x:c r="E506" t="n">
        <x:v>0</x:v>
      </x:c>
      <x:c r="F506" t="n">
        <x:v>2</x:v>
      </x:c>
      <x:c r="G506" t="n">
        <x:f>F506-E506</x:f>
        <x:v>2</x:v>
      </x:c>
      <x:c r="H506" s="2" t="n">
        <x:f>IFERROR(E506/F506,0)</x:f>
        <x:v>0</x:v>
      </x:c>
      <x:c r="I506" t="str">
        <x:v>Defasagem</x:v>
      </x:c>
      <x:c r="J506" t="str">
        <x:v>CAEd_DadosExportados (2).zip</x:v>
      </x:c>
    </x:row>
    <x:row r="507">
      <x:c r="A507" t="str">
        <x:v>2A005</x:v>
      </x:c>
      <x:c r="B507" t="str">
        <x:v>2º ano</x:v>
      </x:c>
      <x:c r="C507" t="str">
        <x:v>contraprova</x:v>
      </x:c>
      <x:c r="D507" t="str">
        <x:v>H02</x:v>
      </x:c>
      <x:c r="E507" t="n">
        <x:v>0</x:v>
      </x:c>
      <x:c r="F507" t="n">
        <x:v>2</x:v>
      </x:c>
      <x:c r="G507" t="n">
        <x:f>F507-E507</x:f>
        <x:v>2</x:v>
      </x:c>
      <x:c r="H507" s="2" t="n">
        <x:f>IFERROR(E507/F507,0)</x:f>
        <x:v>0</x:v>
      </x:c>
      <x:c r="I507" t="str">
        <x:v>Defasagem</x:v>
      </x:c>
      <x:c r="J507" t="str">
        <x:v>CAEd_DadosExportados (2).zip</x:v>
      </x:c>
    </x:row>
    <x:row r="508">
      <x:c r="A508" t="str">
        <x:v>2A005</x:v>
      </x:c>
      <x:c r="B508" t="str">
        <x:v>2º ano</x:v>
      </x:c>
      <x:c r="C508" t="str">
        <x:v>contraprova</x:v>
      </x:c>
      <x:c r="D508" t="str">
        <x:v>H03</x:v>
      </x:c>
      <x:c r="E508" t="n">
        <x:v>2</x:v>
      </x:c>
      <x:c r="F508" t="n">
        <x:v>2</x:v>
      </x:c>
      <x:c r="G508" t="n">
        <x:f>F508-E508</x:f>
        <x:v>0</x:v>
      </x:c>
      <x:c r="H508" s="2" t="n">
        <x:f>IFERROR(E508/F508,0)</x:f>
        <x:v>1</x:v>
      </x:c>
      <x:c r="I508" t="str">
        <x:v>Defasagem</x:v>
      </x:c>
      <x:c r="J508" t="str">
        <x:v>CAEd_DadosExportados (2).zip</x:v>
      </x:c>
    </x:row>
    <x:row r="509">
      <x:c r="A509" t="str">
        <x:v>2A005</x:v>
      </x:c>
      <x:c r="B509" t="str">
        <x:v>2º ano</x:v>
      </x:c>
      <x:c r="C509" t="str">
        <x:v>contraprova</x:v>
      </x:c>
      <x:c r="D509" t="str">
        <x:v>H04</x:v>
      </x:c>
      <x:c r="E509" t="n">
        <x:v>0</x:v>
      </x:c>
      <x:c r="F509" t="n">
        <x:v>2</x:v>
      </x:c>
      <x:c r="G509" t="n">
        <x:f>F509-E509</x:f>
        <x:v>2</x:v>
      </x:c>
      <x:c r="H509" s="2" t="n">
        <x:f>IFERROR(E509/F509,0)</x:f>
        <x:v>0</x:v>
      </x:c>
      <x:c r="I509" t="str">
        <x:v>Defasagem</x:v>
      </x:c>
      <x:c r="J509" t="str">
        <x:v>CAEd_DadosExportados (2).zip</x:v>
      </x:c>
    </x:row>
    <x:row r="510">
      <x:c r="A510" t="str">
        <x:v>2A005</x:v>
      </x:c>
      <x:c r="B510" t="str">
        <x:v>2º ano</x:v>
      </x:c>
      <x:c r="C510" t="str">
        <x:v>contraprova</x:v>
      </x:c>
      <x:c r="D510" t="str">
        <x:v>H05</x:v>
      </x:c>
      <x:c r="E510" t="n">
        <x:v>1</x:v>
      </x:c>
      <x:c r="F510" t="n">
        <x:v>2</x:v>
      </x:c>
      <x:c r="G510" t="n">
        <x:f>F510-E510</x:f>
        <x:v>1</x:v>
      </x:c>
      <x:c r="H510" s="2" t="n">
        <x:f>IFERROR(E510/F510,0)</x:f>
        <x:v>0.5</x:v>
      </x:c>
      <x:c r="I510" t="str">
        <x:v>Defasagem</x:v>
      </x:c>
      <x:c r="J510" t="str">
        <x:v>CAEd_DadosExportados (2).zip</x:v>
      </x:c>
    </x:row>
    <x:row r="511">
      <x:c r="A511" t="str">
        <x:v>2A005</x:v>
      </x:c>
      <x:c r="B511" t="str">
        <x:v>2º ano</x:v>
      </x:c>
      <x:c r="C511" t="str">
        <x:v>contraprova</x:v>
      </x:c>
      <x:c r="D511" t="str">
        <x:v>H06</x:v>
      </x:c>
      <x:c r="E511" t="n">
        <x:v>0</x:v>
      </x:c>
      <x:c r="F511" t="n">
        <x:v>2</x:v>
      </x:c>
      <x:c r="G511" t="n">
        <x:f>F511-E511</x:f>
        <x:v>2</x:v>
      </x:c>
      <x:c r="H511" s="2" t="n">
        <x:f>IFERROR(E511/F511,0)</x:f>
        <x:v>0</x:v>
      </x:c>
      <x:c r="I511" t="str">
        <x:v>Defasagem</x:v>
      </x:c>
      <x:c r="J511" t="str">
        <x:v>CAEd_DadosExportados (2).zip</x:v>
      </x:c>
    </x:row>
    <x:row r="512">
      <x:c r="A512" t="str">
        <x:v>2A005</x:v>
      </x:c>
      <x:c r="B512" t="str">
        <x:v>2º ano</x:v>
      </x:c>
      <x:c r="C512" t="str">
        <x:v>contraprova</x:v>
      </x:c>
      <x:c r="D512" t="str">
        <x:v>H07</x:v>
      </x:c>
      <x:c r="E512" t="n">
        <x:v>0</x:v>
      </x:c>
      <x:c r="F512" t="n">
        <x:v>2</x:v>
      </x:c>
      <x:c r="G512" t="n">
        <x:f>F512-E512</x:f>
        <x:v>2</x:v>
      </x:c>
      <x:c r="H512" s="2" t="n">
        <x:f>IFERROR(E512/F512,0)</x:f>
        <x:v>0</x:v>
      </x:c>
      <x:c r="I512" t="str">
        <x:v>Defasagem</x:v>
      </x:c>
      <x:c r="J512" t="str">
        <x:v>CAEd_DadosExportados (2).zip</x:v>
      </x:c>
    </x:row>
    <x:row r="513">
      <x:c r="A513" t="str">
        <x:v>2A005</x:v>
      </x:c>
      <x:c r="B513" t="str">
        <x:v>2º ano</x:v>
      </x:c>
      <x:c r="C513" t="str">
        <x:v>contraprova</x:v>
      </x:c>
      <x:c r="D513" t="str">
        <x:v>H08</x:v>
      </x:c>
      <x:c r="E513" t="n">
        <x:v>0</x:v>
      </x:c>
      <x:c r="F513" t="n">
        <x:v>2</x:v>
      </x:c>
      <x:c r="G513" t="n">
        <x:f>F513-E513</x:f>
        <x:v>2</x:v>
      </x:c>
      <x:c r="H513" s="2" t="n">
        <x:f>IFERROR(E513/F513,0)</x:f>
        <x:v>0</x:v>
      </x:c>
      <x:c r="I513" t="str">
        <x:v>Defasagem</x:v>
      </x:c>
      <x:c r="J513" t="str">
        <x:v>CAEd_DadosExportados (2).zip</x:v>
      </x:c>
    </x:row>
    <x:row r="514">
      <x:c r="A514" t="str">
        <x:v>2A005</x:v>
      </x:c>
      <x:c r="B514" t="str">
        <x:v>2º ano</x:v>
      </x:c>
      <x:c r="C514" t="str">
        <x:v>contraprova</x:v>
      </x:c>
      <x:c r="D514" t="str">
        <x:v>H09</x:v>
      </x:c>
      <x:c r="E514" t="n">
        <x:v>2</x:v>
      </x:c>
      <x:c r="F514" t="n">
        <x:v>2</x:v>
      </x:c>
      <x:c r="G514" t="n">
        <x:f>F514-E514</x:f>
        <x:v>0</x:v>
      </x:c>
      <x:c r="H514" s="2" t="n">
        <x:f>IFERROR(E514/F514,0)</x:f>
        <x:v>1</x:v>
      </x:c>
      <x:c r="I514" t="str">
        <x:v>Defasagem</x:v>
      </x:c>
      <x:c r="J514" t="str">
        <x:v>CAEd_DadosExportados (2).zip</x:v>
      </x:c>
    </x:row>
    <x:row r="515">
      <x:c r="A515" t="str">
        <x:v>2A005</x:v>
      </x:c>
      <x:c r="B515" t="str">
        <x:v>2º ano</x:v>
      </x:c>
      <x:c r="C515" t="str">
        <x:v>contraprova</x:v>
      </x:c>
      <x:c r="D515" t="str">
        <x:v>H10</x:v>
      </x:c>
      <x:c r="E515" t="n">
        <x:v>0</x:v>
      </x:c>
      <x:c r="F515" t="n">
        <x:v>2</x:v>
      </x:c>
      <x:c r="G515" t="n">
        <x:f>F515-E515</x:f>
        <x:v>2</x:v>
      </x:c>
      <x:c r="H515" s="2" t="n">
        <x:f>IFERROR(E515/F515,0)</x:f>
        <x:v>0</x:v>
      </x:c>
      <x:c r="I515" t="str">
        <x:v>Defasagem</x:v>
      </x:c>
      <x:c r="J515" t="str">
        <x:v>CAEd_DadosExportados (2).zip</x:v>
      </x:c>
    </x:row>
    <x:row r="516">
      <x:c r="A516" t="str">
        <x:v>2A005</x:v>
      </x:c>
      <x:c r="B516" t="str">
        <x:v>2º ano</x:v>
      </x:c>
      <x:c r="C516" t="str">
        <x:v>contraprova</x:v>
      </x:c>
      <x:c r="D516" t="str">
        <x:v>H11</x:v>
      </x:c>
      <x:c r="E516" t="n">
        <x:v>0</x:v>
      </x:c>
      <x:c r="F516" t="n">
        <x:v>2</x:v>
      </x:c>
      <x:c r="G516" t="n">
        <x:f>F516-E516</x:f>
        <x:v>2</x:v>
      </x:c>
      <x:c r="H516" s="2" t="n">
        <x:f>IFERROR(E516/F516,0)</x:f>
        <x:v>0</x:v>
      </x:c>
      <x:c r="I516" t="str">
        <x:v>Defasagem</x:v>
      </x:c>
      <x:c r="J516" t="str">
        <x:v>CAEd_DadosExportados (2).zip</x:v>
      </x:c>
    </x:row>
    <x:row r="517">
      <x:c r="A517" t="str">
        <x:v>2A005</x:v>
      </x:c>
      <x:c r="B517" t="str">
        <x:v>2º ano</x:v>
      </x:c>
      <x:c r="C517" t="str">
        <x:v>referencia</x:v>
      </x:c>
      <x:c r="D517" t="str">
        <x:v>H01</x:v>
      </x:c>
      <x:c r="E517" t="n">
        <x:v>1</x:v>
      </x:c>
      <x:c r="F517" t="n">
        <x:v>2</x:v>
      </x:c>
      <x:c r="G517" t="n">
        <x:f>F517-E517</x:f>
        <x:v>1</x:v>
      </x:c>
      <x:c r="H517" s="2" t="n">
        <x:f>IFERROR(E517/F517,0)</x:f>
        <x:v>0.5</x:v>
      </x:c>
      <x:c r="I517" t="str">
        <x:v>Defasagem</x:v>
      </x:c>
      <x:c r="J517" t="str">
        <x:v>CAEd_DadosExportados (1).zip</x:v>
      </x:c>
    </x:row>
    <x:row r="518">
      <x:c r="A518" t="str">
        <x:v>2A005</x:v>
      </x:c>
      <x:c r="B518" t="str">
        <x:v>2º ano</x:v>
      </x:c>
      <x:c r="C518" t="str">
        <x:v>referencia</x:v>
      </x:c>
      <x:c r="D518" t="str">
        <x:v>H02</x:v>
      </x:c>
      <x:c r="E518" t="n">
        <x:v>0</x:v>
      </x:c>
      <x:c r="F518" t="n">
        <x:v>2</x:v>
      </x:c>
      <x:c r="G518" t="n">
        <x:f>F518-E518</x:f>
        <x:v>2</x:v>
      </x:c>
      <x:c r="H518" s="2" t="n">
        <x:f>IFERROR(E518/F518,0)</x:f>
        <x:v>0</x:v>
      </x:c>
      <x:c r="I518" t="str">
        <x:v>Defasagem</x:v>
      </x:c>
      <x:c r="J518" t="str">
        <x:v>CAEd_DadosExportados (1).zip</x:v>
      </x:c>
    </x:row>
    <x:row r="519">
      <x:c r="A519" t="str">
        <x:v>2A005</x:v>
      </x:c>
      <x:c r="B519" t="str">
        <x:v>2º ano</x:v>
      </x:c>
      <x:c r="C519" t="str">
        <x:v>referencia</x:v>
      </x:c>
      <x:c r="D519" t="str">
        <x:v>H03</x:v>
      </x:c>
      <x:c r="E519" t="n">
        <x:v>1</x:v>
      </x:c>
      <x:c r="F519" t="n">
        <x:v>2</x:v>
      </x:c>
      <x:c r="G519" t="n">
        <x:f>F519-E519</x:f>
        <x:v>1</x:v>
      </x:c>
      <x:c r="H519" s="2" t="n">
        <x:f>IFERROR(E519/F519,0)</x:f>
        <x:v>0.5</x:v>
      </x:c>
      <x:c r="I519" t="str">
        <x:v>Defasagem</x:v>
      </x:c>
      <x:c r="J519" t="str">
        <x:v>CAEd_DadosExportados (1).zip</x:v>
      </x:c>
    </x:row>
    <x:row r="520">
      <x:c r="A520" t="str">
        <x:v>2A005</x:v>
      </x:c>
      <x:c r="B520" t="str">
        <x:v>2º ano</x:v>
      </x:c>
      <x:c r="C520" t="str">
        <x:v>referencia</x:v>
      </x:c>
      <x:c r="D520" t="str">
        <x:v>H04</x:v>
      </x:c>
      <x:c r="E520" t="n">
        <x:v>1</x:v>
      </x:c>
      <x:c r="F520" t="n">
        <x:v>2</x:v>
      </x:c>
      <x:c r="G520" t="n">
        <x:f>F520-E520</x:f>
        <x:v>1</x:v>
      </x:c>
      <x:c r="H520" s="2" t="n">
        <x:f>IFERROR(E520/F520,0)</x:f>
        <x:v>0.5</x:v>
      </x:c>
      <x:c r="I520" t="str">
        <x:v>Defasagem</x:v>
      </x:c>
      <x:c r="J520" t="str">
        <x:v>CAEd_DadosExportados (1).zip</x:v>
      </x:c>
    </x:row>
    <x:row r="521">
      <x:c r="A521" t="str">
        <x:v>2A005</x:v>
      </x:c>
      <x:c r="B521" t="str">
        <x:v>2º ano</x:v>
      </x:c>
      <x:c r="C521" t="str">
        <x:v>referencia</x:v>
      </x:c>
      <x:c r="D521" t="str">
        <x:v>H05</x:v>
      </x:c>
      <x:c r="E521" t="n">
        <x:v>1</x:v>
      </x:c>
      <x:c r="F521" t="n">
        <x:v>1</x:v>
      </x:c>
      <x:c r="G521" t="n">
        <x:f>F521-E521</x:f>
        <x:v>0</x:v>
      </x:c>
      <x:c r="H521" s="2" t="n">
        <x:f>IFERROR(E521/F521,0)</x:f>
        <x:v>1</x:v>
      </x:c>
      <x:c r="I521" t="str">
        <x:v>Defasagem</x:v>
      </x:c>
      <x:c r="J521" t="str">
        <x:v>CAEd_DadosExportados (1).zip</x:v>
      </x:c>
    </x:row>
    <x:row r="522">
      <x:c r="A522" t="str">
        <x:v>2A005</x:v>
      </x:c>
      <x:c r="B522" t="str">
        <x:v>2º ano</x:v>
      </x:c>
      <x:c r="C522" t="str">
        <x:v>referencia</x:v>
      </x:c>
      <x:c r="D522" t="str">
        <x:v>H06</x:v>
      </x:c>
      <x:c r="E522" t="n">
        <x:v>0</x:v>
      </x:c>
      <x:c r="F522" t="n">
        <x:v>2</x:v>
      </x:c>
      <x:c r="G522" t="n">
        <x:f>F522-E522</x:f>
        <x:v>2</x:v>
      </x:c>
      <x:c r="H522" s="2" t="n">
        <x:f>IFERROR(E522/F522,0)</x:f>
        <x:v>0</x:v>
      </x:c>
      <x:c r="I522" t="str">
        <x:v>Defasagem</x:v>
      </x:c>
      <x:c r="J522" t="str">
        <x:v>CAEd_DadosExportados (1).zip</x:v>
      </x:c>
    </x:row>
    <x:row r="523">
      <x:c r="A523" t="str">
        <x:v>2A005</x:v>
      </x:c>
      <x:c r="B523" t="str">
        <x:v>2º ano</x:v>
      </x:c>
      <x:c r="C523" t="str">
        <x:v>referencia</x:v>
      </x:c>
      <x:c r="D523" t="str">
        <x:v>H07</x:v>
      </x:c>
      <x:c r="E523" t="n">
        <x:v>0</x:v>
      </x:c>
      <x:c r="F523" t="n">
        <x:v>2</x:v>
      </x:c>
      <x:c r="G523" t="n">
        <x:f>F523-E523</x:f>
        <x:v>2</x:v>
      </x:c>
      <x:c r="H523" s="2" t="n">
        <x:f>IFERROR(E523/F523,0)</x:f>
        <x:v>0</x:v>
      </x:c>
      <x:c r="I523" t="str">
        <x:v>Defasagem</x:v>
      </x:c>
      <x:c r="J523" t="str">
        <x:v>CAEd_DadosExportados (1).zip</x:v>
      </x:c>
    </x:row>
    <x:row r="524">
      <x:c r="A524" t="str">
        <x:v>2A005</x:v>
      </x:c>
      <x:c r="B524" t="str">
        <x:v>2º ano</x:v>
      </x:c>
      <x:c r="C524" t="str">
        <x:v>referencia</x:v>
      </x:c>
      <x:c r="D524" t="str">
        <x:v>H08</x:v>
      </x:c>
      <x:c r="E524" t="n">
        <x:v>0</x:v>
      </x:c>
      <x:c r="F524" t="n">
        <x:v>2</x:v>
      </x:c>
      <x:c r="G524" t="n">
        <x:f>F524-E524</x:f>
        <x:v>2</x:v>
      </x:c>
      <x:c r="H524" s="2" t="n">
        <x:f>IFERROR(E524/F524,0)</x:f>
        <x:v>0</x:v>
      </x:c>
      <x:c r="I524" t="str">
        <x:v>Defasagem</x:v>
      </x:c>
      <x:c r="J524" t="str">
        <x:v>CAEd_DadosExportados (1).zip</x:v>
      </x:c>
    </x:row>
    <x:row r="525">
      <x:c r="A525" t="str">
        <x:v>2A005</x:v>
      </x:c>
      <x:c r="B525" t="str">
        <x:v>2º ano</x:v>
      </x:c>
      <x:c r="C525" t="str">
        <x:v>referencia</x:v>
      </x:c>
      <x:c r="D525" t="str">
        <x:v>H09</x:v>
      </x:c>
      <x:c r="E525" t="n">
        <x:v>2</x:v>
      </x:c>
      <x:c r="F525" t="n">
        <x:v>2</x:v>
      </x:c>
      <x:c r="G525" t="n">
        <x:f>F525-E525</x:f>
        <x:v>0</x:v>
      </x:c>
      <x:c r="H525" s="2" t="n">
        <x:f>IFERROR(E525/F525,0)</x:f>
        <x:v>1</x:v>
      </x:c>
      <x:c r="I525" t="str">
        <x:v>Defasagem</x:v>
      </x:c>
      <x:c r="J525" t="str">
        <x:v>CAEd_DadosExportados (1).zip</x:v>
      </x:c>
    </x:row>
    <x:row r="526">
      <x:c r="A526" t="str">
        <x:v>2A005</x:v>
      </x:c>
      <x:c r="B526" t="str">
        <x:v>2º ano</x:v>
      </x:c>
      <x:c r="C526" t="str">
        <x:v>referencia</x:v>
      </x:c>
      <x:c r="D526" t="str">
        <x:v>H10</x:v>
      </x:c>
      <x:c r="E526" t="n">
        <x:v>0</x:v>
      </x:c>
      <x:c r="F526" t="n">
        <x:v>1</x:v>
      </x:c>
      <x:c r="G526" t="n">
        <x:f>F526-E526</x:f>
        <x:v>1</x:v>
      </x:c>
      <x:c r="H526" s="2" t="n">
        <x:f>IFERROR(E526/F526,0)</x:f>
        <x:v>0</x:v>
      </x:c>
      <x:c r="I526" t="str">
        <x:v>Defasagem</x:v>
      </x:c>
      <x:c r="J526" t="str">
        <x:v>CAEd_DadosExportados (1).zip</x:v>
      </x:c>
    </x:row>
    <x:row r="527">
      <x:c r="A527" t="str">
        <x:v>2A005</x:v>
      </x:c>
      <x:c r="B527" t="str">
        <x:v>2º ano</x:v>
      </x:c>
      <x:c r="C527" t="str">
        <x:v>referencia</x:v>
      </x:c>
      <x:c r="D527" t="str">
        <x:v>H11</x:v>
      </x:c>
      <x:c r="E527" t="n">
        <x:v>0</x:v>
      </x:c>
      <x:c r="F527" t="n">
        <x:v>2</x:v>
      </x:c>
      <x:c r="G527" t="n">
        <x:f>F527-E527</x:f>
        <x:v>2</x:v>
      </x:c>
      <x:c r="H527" s="2" t="n">
        <x:f>IFERROR(E527/F527,0)</x:f>
        <x:v>0</x:v>
      </x:c>
      <x:c r="I527" t="str">
        <x:v>Defasagem</x:v>
      </x:c>
      <x:c r="J527" t="str">
        <x:v>CAEd_DadosExportados (1).zip</x:v>
      </x:c>
    </x:row>
    <x:row r="528">
      <x:c r="A528" t="str">
        <x:v>2A005</x:v>
      </x:c>
      <x:c r="B528" t="str">
        <x:v>2º ano</x:v>
      </x:c>
      <x:c r="C528" t="str">
        <x:v>referencia</x:v>
      </x:c>
      <x:c r="D528" t="str">
        <x:v>H12</x:v>
      </x:c>
      <x:c r="E528" t="n">
        <x:v>0</x:v>
      </x:c>
      <x:c r="F528" t="n">
        <x:v>1</x:v>
      </x:c>
      <x:c r="G528" t="n">
        <x:f>F528-E528</x:f>
        <x:v>1</x:v>
      </x:c>
      <x:c r="H528" s="2" t="n">
        <x:f>IFERROR(E528/F528,0)</x:f>
        <x:v>0</x:v>
      </x:c>
      <x:c r="I528" t="str">
        <x:v>Defasagem</x:v>
      </x:c>
      <x:c r="J528" t="str">
        <x:v>CAEd_DadosExportados (1).zip</x:v>
      </x:c>
    </x:row>
    <x:row r="529">
      <x:c r="A529" t="str">
        <x:v>2A005</x:v>
      </x:c>
      <x:c r="B529" t="str">
        <x:v>2º ano</x:v>
      </x:c>
      <x:c r="C529" t="str">
        <x:v>referencia</x:v>
      </x:c>
      <x:c r="D529" t="str">
        <x:v>H13</x:v>
      </x:c>
      <x:c r="E529" t="n">
        <x:v>1</x:v>
      </x:c>
      <x:c r="F529" t="n">
        <x:v>1</x:v>
      </x:c>
      <x:c r="G529" t="n">
        <x:f>F529-E529</x:f>
        <x:v>0</x:v>
      </x:c>
      <x:c r="H529" s="2" t="n">
        <x:f>IFERROR(E529/F529,0)</x:f>
        <x:v>1</x:v>
      </x:c>
      <x:c r="I529" t="str">
        <x:v>Defasagem</x:v>
      </x:c>
      <x:c r="J529" t="str">
        <x:v>CAEd_DadosExportados (1).zip</x:v>
      </x:c>
    </x:row>
    <x:row r="530">
      <x:c r="A530" t="str">
        <x:v>2A006</x:v>
      </x:c>
      <x:c r="B530" t="str">
        <x:v>2º ano</x:v>
      </x:c>
      <x:c r="C530" t="str">
        <x:v>contraprova</x:v>
      </x:c>
      <x:c r="D530" t="str">
        <x:v>H01</x:v>
      </x:c>
      <x:c r="E530" t="n">
        <x:v>1</x:v>
      </x:c>
      <x:c r="F530" t="n">
        <x:v>2</x:v>
      </x:c>
      <x:c r="G530" t="n">
        <x:f>F530-E530</x:f>
        <x:v>1</x:v>
      </x:c>
      <x:c r="H530" s="2" t="n">
        <x:f>IFERROR(E530/F530,0)</x:f>
        <x:v>0.5</x:v>
      </x:c>
      <x:c r="I530" t="str">
        <x:v>Intermediário</x:v>
      </x:c>
      <x:c r="J530" t="str">
        <x:v>CAEd_DadosExportados (2).zip</x:v>
      </x:c>
    </x:row>
    <x:row r="531">
      <x:c r="A531" t="str">
        <x:v>2A006</x:v>
      </x:c>
      <x:c r="B531" t="str">
        <x:v>2º ano</x:v>
      </x:c>
      <x:c r="C531" t="str">
        <x:v>contraprova</x:v>
      </x:c>
      <x:c r="D531" t="str">
        <x:v>H02</x:v>
      </x:c>
      <x:c r="E531" t="n">
        <x:v>0</x:v>
      </x:c>
      <x:c r="F531" t="n">
        <x:v>2</x:v>
      </x:c>
      <x:c r="G531" t="n">
        <x:f>F531-E531</x:f>
        <x:v>2</x:v>
      </x:c>
      <x:c r="H531" s="2" t="n">
        <x:f>IFERROR(E531/F531,0)</x:f>
        <x:v>0</x:v>
      </x:c>
      <x:c r="I531" t="str">
        <x:v>Intermediário</x:v>
      </x:c>
      <x:c r="J531" t="str">
        <x:v>CAEd_DadosExportados (2).zip</x:v>
      </x:c>
    </x:row>
    <x:row r="532">
      <x:c r="A532" t="str">
        <x:v>2A006</x:v>
      </x:c>
      <x:c r="B532" t="str">
        <x:v>2º ano</x:v>
      </x:c>
      <x:c r="C532" t="str">
        <x:v>contraprova</x:v>
      </x:c>
      <x:c r="D532" t="str">
        <x:v>H03</x:v>
      </x:c>
      <x:c r="E532" t="n">
        <x:v>2</x:v>
      </x:c>
      <x:c r="F532" t="n">
        <x:v>2</x:v>
      </x:c>
      <x:c r="G532" t="n">
        <x:f>F532-E532</x:f>
        <x:v>0</x:v>
      </x:c>
      <x:c r="H532" s="2" t="n">
        <x:f>IFERROR(E532/F532,0)</x:f>
        <x:v>1</x:v>
      </x:c>
      <x:c r="I532" t="str">
        <x:v>Intermediário</x:v>
      </x:c>
      <x:c r="J532" t="str">
        <x:v>CAEd_DadosExportados (2).zip</x:v>
      </x:c>
    </x:row>
    <x:row r="533">
      <x:c r="A533" t="str">
        <x:v>2A006</x:v>
      </x:c>
      <x:c r="B533" t="str">
        <x:v>2º ano</x:v>
      </x:c>
      <x:c r="C533" t="str">
        <x:v>contraprova</x:v>
      </x:c>
      <x:c r="D533" t="str">
        <x:v>H04</x:v>
      </x:c>
      <x:c r="E533" t="n">
        <x:v>2</x:v>
      </x:c>
      <x:c r="F533" t="n">
        <x:v>2</x:v>
      </x:c>
      <x:c r="G533" t="n">
        <x:f>F533-E533</x:f>
        <x:v>0</x:v>
      </x:c>
      <x:c r="H533" s="2" t="n">
        <x:f>IFERROR(E533/F533,0)</x:f>
        <x:v>1</x:v>
      </x:c>
      <x:c r="I533" t="str">
        <x:v>Intermediário</x:v>
      </x:c>
      <x:c r="J533" t="str">
        <x:v>CAEd_DadosExportados (2).zip</x:v>
      </x:c>
    </x:row>
    <x:row r="534">
      <x:c r="A534" t="str">
        <x:v>2A006</x:v>
      </x:c>
      <x:c r="B534" t="str">
        <x:v>2º ano</x:v>
      </x:c>
      <x:c r="C534" t="str">
        <x:v>contraprova</x:v>
      </x:c>
      <x:c r="D534" t="str">
        <x:v>H05</x:v>
      </x:c>
      <x:c r="E534" t="n">
        <x:v>2</x:v>
      </x:c>
      <x:c r="F534" t="n">
        <x:v>2</x:v>
      </x:c>
      <x:c r="G534" t="n">
        <x:f>F534-E534</x:f>
        <x:v>0</x:v>
      </x:c>
      <x:c r="H534" s="2" t="n">
        <x:f>IFERROR(E534/F534,0)</x:f>
        <x:v>1</x:v>
      </x:c>
      <x:c r="I534" t="str">
        <x:v>Intermediário</x:v>
      </x:c>
      <x:c r="J534" t="str">
        <x:v>CAEd_DadosExportados (2).zip</x:v>
      </x:c>
    </x:row>
    <x:row r="535">
      <x:c r="A535" t="str">
        <x:v>2A006</x:v>
      </x:c>
      <x:c r="B535" t="str">
        <x:v>2º ano</x:v>
      </x:c>
      <x:c r="C535" t="str">
        <x:v>contraprova</x:v>
      </x:c>
      <x:c r="D535" t="str">
        <x:v>H06</x:v>
      </x:c>
      <x:c r="E535" t="n">
        <x:v>1</x:v>
      </x:c>
      <x:c r="F535" t="n">
        <x:v>2</x:v>
      </x:c>
      <x:c r="G535" t="n">
        <x:f>F535-E535</x:f>
        <x:v>1</x:v>
      </x:c>
      <x:c r="H535" s="2" t="n">
        <x:f>IFERROR(E535/F535,0)</x:f>
        <x:v>0.5</x:v>
      </x:c>
      <x:c r="I535" t="str">
        <x:v>Intermediário</x:v>
      </x:c>
      <x:c r="J535" t="str">
        <x:v>CAEd_DadosExportados (2).zip</x:v>
      </x:c>
    </x:row>
    <x:row r="536">
      <x:c r="A536" t="str">
        <x:v>2A006</x:v>
      </x:c>
      <x:c r="B536" t="str">
        <x:v>2º ano</x:v>
      </x:c>
      <x:c r="C536" t="str">
        <x:v>contraprova</x:v>
      </x:c>
      <x:c r="D536" t="str">
        <x:v>H07</x:v>
      </x:c>
      <x:c r="E536" t="n">
        <x:v>0</x:v>
      </x:c>
      <x:c r="F536" t="n">
        <x:v>2</x:v>
      </x:c>
      <x:c r="G536" t="n">
        <x:f>F536-E536</x:f>
        <x:v>2</x:v>
      </x:c>
      <x:c r="H536" s="2" t="n">
        <x:f>IFERROR(E536/F536,0)</x:f>
        <x:v>0</x:v>
      </x:c>
      <x:c r="I536" t="str">
        <x:v>Intermediário</x:v>
      </x:c>
      <x:c r="J536" t="str">
        <x:v>CAEd_DadosExportados (2).zip</x:v>
      </x:c>
    </x:row>
    <x:row r="537">
      <x:c r="A537" t="str">
        <x:v>2A006</x:v>
      </x:c>
      <x:c r="B537" t="str">
        <x:v>2º ano</x:v>
      </x:c>
      <x:c r="C537" t="str">
        <x:v>contraprova</x:v>
      </x:c>
      <x:c r="D537" t="str">
        <x:v>H08</x:v>
      </x:c>
      <x:c r="E537" t="n">
        <x:v>1</x:v>
      </x:c>
      <x:c r="F537" t="n">
        <x:v>2</x:v>
      </x:c>
      <x:c r="G537" t="n">
        <x:f>F537-E537</x:f>
        <x:v>1</x:v>
      </x:c>
      <x:c r="H537" s="2" t="n">
        <x:f>IFERROR(E537/F537,0)</x:f>
        <x:v>0.5</x:v>
      </x:c>
      <x:c r="I537" t="str">
        <x:v>Intermediário</x:v>
      </x:c>
      <x:c r="J537" t="str">
        <x:v>CAEd_DadosExportados (2).zip</x:v>
      </x:c>
    </x:row>
    <x:row r="538">
      <x:c r="A538" t="str">
        <x:v>2A006</x:v>
      </x:c>
      <x:c r="B538" t="str">
        <x:v>2º ano</x:v>
      </x:c>
      <x:c r="C538" t="str">
        <x:v>contraprova</x:v>
      </x:c>
      <x:c r="D538" t="str">
        <x:v>H09</x:v>
      </x:c>
      <x:c r="E538" t="n">
        <x:v>2</x:v>
      </x:c>
      <x:c r="F538" t="n">
        <x:v>2</x:v>
      </x:c>
      <x:c r="G538" t="n">
        <x:f>F538-E538</x:f>
        <x:v>0</x:v>
      </x:c>
      <x:c r="H538" s="2" t="n">
        <x:f>IFERROR(E538/F538,0)</x:f>
        <x:v>1</x:v>
      </x:c>
      <x:c r="I538" t="str">
        <x:v>Intermediário</x:v>
      </x:c>
      <x:c r="J538" t="str">
        <x:v>CAEd_DadosExportados (2).zip</x:v>
      </x:c>
    </x:row>
    <x:row r="539">
      <x:c r="A539" t="str">
        <x:v>2A006</x:v>
      </x:c>
      <x:c r="B539" t="str">
        <x:v>2º ano</x:v>
      </x:c>
      <x:c r="C539" t="str">
        <x:v>contraprova</x:v>
      </x:c>
      <x:c r="D539" t="str">
        <x:v>H10</x:v>
      </x:c>
      <x:c r="E539" t="n">
        <x:v>1</x:v>
      </x:c>
      <x:c r="F539" t="n">
        <x:v>2</x:v>
      </x:c>
      <x:c r="G539" t="n">
        <x:f>F539-E539</x:f>
        <x:v>1</x:v>
      </x:c>
      <x:c r="H539" s="2" t="n">
        <x:f>IFERROR(E539/F539,0)</x:f>
        <x:v>0.5</x:v>
      </x:c>
      <x:c r="I539" t="str">
        <x:v>Intermediário</x:v>
      </x:c>
      <x:c r="J539" t="str">
        <x:v>CAEd_DadosExportados (2).zip</x:v>
      </x:c>
    </x:row>
    <x:row r="540">
      <x:c r="A540" t="str">
        <x:v>2A006</x:v>
      </x:c>
      <x:c r="B540" t="str">
        <x:v>2º ano</x:v>
      </x:c>
      <x:c r="C540" t="str">
        <x:v>contraprova</x:v>
      </x:c>
      <x:c r="D540" t="str">
        <x:v>H11</x:v>
      </x:c>
      <x:c r="E540" t="n">
        <x:v>2</x:v>
      </x:c>
      <x:c r="F540" t="n">
        <x:v>2</x:v>
      </x:c>
      <x:c r="G540" t="n">
        <x:f>F540-E540</x:f>
        <x:v>0</x:v>
      </x:c>
      <x:c r="H540" s="2" t="n">
        <x:f>IFERROR(E540/F540,0)</x:f>
        <x:v>1</x:v>
      </x:c>
      <x:c r="I540" t="str">
        <x:v>Intermediário</x:v>
      </x:c>
      <x:c r="J540" t="str">
        <x:v>CAEd_DadosExportados (2).zip</x:v>
      </x:c>
    </x:row>
    <x:row r="541">
      <x:c r="A541" t="str">
        <x:v>2A006</x:v>
      </x:c>
      <x:c r="B541" t="str">
        <x:v>2º ano</x:v>
      </x:c>
      <x:c r="C541" t="str">
        <x:v>referencia</x:v>
      </x:c>
      <x:c r="D541" t="str">
        <x:v>H01</x:v>
      </x:c>
      <x:c r="E541" t="n">
        <x:v>2</x:v>
      </x:c>
      <x:c r="F541" t="n">
        <x:v>2</x:v>
      </x:c>
      <x:c r="G541" t="n">
        <x:f>F541-E541</x:f>
        <x:v>0</x:v>
      </x:c>
      <x:c r="H541" s="2" t="n">
        <x:f>IFERROR(E541/F541,0)</x:f>
        <x:v>1</x:v>
      </x:c>
      <x:c r="I541" t="str">
        <x:v>Adequado</x:v>
      </x:c>
      <x:c r="J541" t="str">
        <x:v>CAEd_DadosExportados (1).zip</x:v>
      </x:c>
    </x:row>
    <x:row r="542">
      <x:c r="A542" t="str">
        <x:v>2A006</x:v>
      </x:c>
      <x:c r="B542" t="str">
        <x:v>2º ano</x:v>
      </x:c>
      <x:c r="C542" t="str">
        <x:v>referencia</x:v>
      </x:c>
      <x:c r="D542" t="str">
        <x:v>H02</x:v>
      </x:c>
      <x:c r="E542" t="n">
        <x:v>1</x:v>
      </x:c>
      <x:c r="F542" t="n">
        <x:v>2</x:v>
      </x:c>
      <x:c r="G542" t="n">
        <x:f>F542-E542</x:f>
        <x:v>1</x:v>
      </x:c>
      <x:c r="H542" s="2" t="n">
        <x:f>IFERROR(E542/F542,0)</x:f>
        <x:v>0.5</x:v>
      </x:c>
      <x:c r="I542" t="str">
        <x:v>Adequado</x:v>
      </x:c>
      <x:c r="J542" t="str">
        <x:v>CAEd_DadosExportados (1).zip</x:v>
      </x:c>
    </x:row>
    <x:row r="543">
      <x:c r="A543" t="str">
        <x:v>2A006</x:v>
      </x:c>
      <x:c r="B543" t="str">
        <x:v>2º ano</x:v>
      </x:c>
      <x:c r="C543" t="str">
        <x:v>referencia</x:v>
      </x:c>
      <x:c r="D543" t="str">
        <x:v>H03</x:v>
      </x:c>
      <x:c r="E543" t="n">
        <x:v>2</x:v>
      </x:c>
      <x:c r="F543" t="n">
        <x:v>2</x:v>
      </x:c>
      <x:c r="G543" t="n">
        <x:f>F543-E543</x:f>
        <x:v>0</x:v>
      </x:c>
      <x:c r="H543" s="2" t="n">
        <x:f>IFERROR(E543/F543,0)</x:f>
        <x:v>1</x:v>
      </x:c>
      <x:c r="I543" t="str">
        <x:v>Adequado</x:v>
      </x:c>
      <x:c r="J543" t="str">
        <x:v>CAEd_DadosExportados (1).zip</x:v>
      </x:c>
    </x:row>
    <x:row r="544">
      <x:c r="A544" t="str">
        <x:v>2A006</x:v>
      </x:c>
      <x:c r="B544" t="str">
        <x:v>2º ano</x:v>
      </x:c>
      <x:c r="C544" t="str">
        <x:v>referencia</x:v>
      </x:c>
      <x:c r="D544" t="str">
        <x:v>H04</x:v>
      </x:c>
      <x:c r="E544" t="n">
        <x:v>1</x:v>
      </x:c>
      <x:c r="F544" t="n">
        <x:v>2</x:v>
      </x:c>
      <x:c r="G544" t="n">
        <x:f>F544-E544</x:f>
        <x:v>1</x:v>
      </x:c>
      <x:c r="H544" s="2" t="n">
        <x:f>IFERROR(E544/F544,0)</x:f>
        <x:v>0.5</x:v>
      </x:c>
      <x:c r="I544" t="str">
        <x:v>Adequado</x:v>
      </x:c>
      <x:c r="J544" t="str">
        <x:v>CAEd_DadosExportados (1).zip</x:v>
      </x:c>
    </x:row>
    <x:row r="545">
      <x:c r="A545" t="str">
        <x:v>2A006</x:v>
      </x:c>
      <x:c r="B545" t="str">
        <x:v>2º ano</x:v>
      </x:c>
      <x:c r="C545" t="str">
        <x:v>referencia</x:v>
      </x:c>
      <x:c r="D545" t="str">
        <x:v>H05</x:v>
      </x:c>
      <x:c r="E545" t="n">
        <x:v>1</x:v>
      </x:c>
      <x:c r="F545" t="n">
        <x:v>1</x:v>
      </x:c>
      <x:c r="G545" t="n">
        <x:f>F545-E545</x:f>
        <x:v>0</x:v>
      </x:c>
      <x:c r="H545" s="2" t="n">
        <x:f>IFERROR(E545/F545,0)</x:f>
        <x:v>1</x:v>
      </x:c>
      <x:c r="I545" t="str">
        <x:v>Adequado</x:v>
      </x:c>
      <x:c r="J545" t="str">
        <x:v>CAEd_DadosExportados (1).zip</x:v>
      </x:c>
    </x:row>
    <x:row r="546">
      <x:c r="A546" t="str">
        <x:v>2A006</x:v>
      </x:c>
      <x:c r="B546" t="str">
        <x:v>2º ano</x:v>
      </x:c>
      <x:c r="C546" t="str">
        <x:v>referencia</x:v>
      </x:c>
      <x:c r="D546" t="str">
        <x:v>H06</x:v>
      </x:c>
      <x:c r="E546" t="n">
        <x:v>2</x:v>
      </x:c>
      <x:c r="F546" t="n">
        <x:v>2</x:v>
      </x:c>
      <x:c r="G546" t="n">
        <x:f>F546-E546</x:f>
        <x:v>0</x:v>
      </x:c>
      <x:c r="H546" s="2" t="n">
        <x:f>IFERROR(E546/F546,0)</x:f>
        <x:v>1</x:v>
      </x:c>
      <x:c r="I546" t="str">
        <x:v>Adequado</x:v>
      </x:c>
      <x:c r="J546" t="str">
        <x:v>CAEd_DadosExportados (1).zip</x:v>
      </x:c>
    </x:row>
    <x:row r="547">
      <x:c r="A547" t="str">
        <x:v>2A006</x:v>
      </x:c>
      <x:c r="B547" t="str">
        <x:v>2º ano</x:v>
      </x:c>
      <x:c r="C547" t="str">
        <x:v>referencia</x:v>
      </x:c>
      <x:c r="D547" t="str">
        <x:v>H07</x:v>
      </x:c>
      <x:c r="E547" t="n">
        <x:v>2</x:v>
      </x:c>
      <x:c r="F547" t="n">
        <x:v>2</x:v>
      </x:c>
      <x:c r="G547" t="n">
        <x:f>F547-E547</x:f>
        <x:v>0</x:v>
      </x:c>
      <x:c r="H547" s="2" t="n">
        <x:f>IFERROR(E547/F547,0)</x:f>
        <x:v>1</x:v>
      </x:c>
      <x:c r="I547" t="str">
        <x:v>Adequado</x:v>
      </x:c>
      <x:c r="J547" t="str">
        <x:v>CAEd_DadosExportados (1).zip</x:v>
      </x:c>
    </x:row>
    <x:row r="548">
      <x:c r="A548" t="str">
        <x:v>2A006</x:v>
      </x:c>
      <x:c r="B548" t="str">
        <x:v>2º ano</x:v>
      </x:c>
      <x:c r="C548" t="str">
        <x:v>referencia</x:v>
      </x:c>
      <x:c r="D548" t="str">
        <x:v>H08</x:v>
      </x:c>
      <x:c r="E548" t="n">
        <x:v>1</x:v>
      </x:c>
      <x:c r="F548" t="n">
        <x:v>2</x:v>
      </x:c>
      <x:c r="G548" t="n">
        <x:f>F548-E548</x:f>
        <x:v>1</x:v>
      </x:c>
      <x:c r="H548" s="2" t="n">
        <x:f>IFERROR(E548/F548,0)</x:f>
        <x:v>0.5</x:v>
      </x:c>
      <x:c r="I548" t="str">
        <x:v>Adequado</x:v>
      </x:c>
      <x:c r="J548" t="str">
        <x:v>CAEd_DadosExportados (1).zip</x:v>
      </x:c>
    </x:row>
    <x:row r="549">
      <x:c r="A549" t="str">
        <x:v>2A006</x:v>
      </x:c>
      <x:c r="B549" t="str">
        <x:v>2º ano</x:v>
      </x:c>
      <x:c r="C549" t="str">
        <x:v>referencia</x:v>
      </x:c>
      <x:c r="D549" t="str">
        <x:v>H09</x:v>
      </x:c>
      <x:c r="E549" t="n">
        <x:v>2</x:v>
      </x:c>
      <x:c r="F549" t="n">
        <x:v>2</x:v>
      </x:c>
      <x:c r="G549" t="n">
        <x:f>F549-E549</x:f>
        <x:v>0</x:v>
      </x:c>
      <x:c r="H549" s="2" t="n">
        <x:f>IFERROR(E549/F549,0)</x:f>
        <x:v>1</x:v>
      </x:c>
      <x:c r="I549" t="str">
        <x:v>Adequado</x:v>
      </x:c>
      <x:c r="J549" t="str">
        <x:v>CAEd_DadosExportados (1).zip</x:v>
      </x:c>
    </x:row>
    <x:row r="550">
      <x:c r="A550" t="str">
        <x:v>2A006</x:v>
      </x:c>
      <x:c r="B550" t="str">
        <x:v>2º ano</x:v>
      </x:c>
      <x:c r="C550" t="str">
        <x:v>referencia</x:v>
      </x:c>
      <x:c r="D550" t="str">
        <x:v>H10</x:v>
      </x:c>
      <x:c r="E550" t="n">
        <x:v>1</x:v>
      </x:c>
      <x:c r="F550" t="n">
        <x:v>1</x:v>
      </x:c>
      <x:c r="G550" t="n">
        <x:f>F550-E550</x:f>
        <x:v>0</x:v>
      </x:c>
      <x:c r="H550" s="2" t="n">
        <x:f>IFERROR(E550/F550,0)</x:f>
        <x:v>1</x:v>
      </x:c>
      <x:c r="I550" t="str">
        <x:v>Adequado</x:v>
      </x:c>
      <x:c r="J550" t="str">
        <x:v>CAEd_DadosExportados (1).zip</x:v>
      </x:c>
    </x:row>
    <x:row r="551">
      <x:c r="A551" t="str">
        <x:v>2A006</x:v>
      </x:c>
      <x:c r="B551" t="str">
        <x:v>2º ano</x:v>
      </x:c>
      <x:c r="C551" t="str">
        <x:v>referencia</x:v>
      </x:c>
      <x:c r="D551" t="str">
        <x:v>H11</x:v>
      </x:c>
      <x:c r="E551" t="n">
        <x:v>2</x:v>
      </x:c>
      <x:c r="F551" t="n">
        <x:v>2</x:v>
      </x:c>
      <x:c r="G551" t="n">
        <x:f>F551-E551</x:f>
        <x:v>0</x:v>
      </x:c>
      <x:c r="H551" s="2" t="n">
        <x:f>IFERROR(E551/F551,0)</x:f>
        <x:v>1</x:v>
      </x:c>
      <x:c r="I551" t="str">
        <x:v>Adequado</x:v>
      </x:c>
      <x:c r="J551" t="str">
        <x:v>CAEd_DadosExportados (1).zip</x:v>
      </x:c>
    </x:row>
    <x:row r="552">
      <x:c r="A552" t="str">
        <x:v>2A006</x:v>
      </x:c>
      <x:c r="B552" t="str">
        <x:v>2º ano</x:v>
      </x:c>
      <x:c r="C552" t="str">
        <x:v>referencia</x:v>
      </x:c>
      <x:c r="D552" t="str">
        <x:v>H12</x:v>
      </x:c>
      <x:c r="E552" t="n">
        <x:v>1</x:v>
      </x:c>
      <x:c r="F552" t="n">
        <x:v>1</x:v>
      </x:c>
      <x:c r="G552" t="n">
        <x:f>F552-E552</x:f>
        <x:v>0</x:v>
      </x:c>
      <x:c r="H552" s="2" t="n">
        <x:f>IFERROR(E552/F552,0)</x:f>
        <x:v>1</x:v>
      </x:c>
      <x:c r="I552" t="str">
        <x:v>Adequado</x:v>
      </x:c>
      <x:c r="J552" t="str">
        <x:v>CAEd_DadosExportados (1).zip</x:v>
      </x:c>
    </x:row>
    <x:row r="553">
      <x:c r="A553" t="str">
        <x:v>2A006</x:v>
      </x:c>
      <x:c r="B553" t="str">
        <x:v>2º ano</x:v>
      </x:c>
      <x:c r="C553" t="str">
        <x:v>referencia</x:v>
      </x:c>
      <x:c r="D553" t="str">
        <x:v>H13</x:v>
      </x:c>
      <x:c r="E553" t="n">
        <x:v>0</x:v>
      </x:c>
      <x:c r="F553" t="n">
        <x:v>1</x:v>
      </x:c>
      <x:c r="G553" t="n">
        <x:f>F553-E553</x:f>
        <x:v>1</x:v>
      </x:c>
      <x:c r="H553" s="2" t="n">
        <x:f>IFERROR(E553/F553,0)</x:f>
        <x:v>0</x:v>
      </x:c>
      <x:c r="I553" t="str">
        <x:v>Adequado</x:v>
      </x:c>
      <x:c r="J553" t="str">
        <x:v>CAEd_DadosExportados (1).zip</x:v>
      </x:c>
    </x:row>
    <x:row r="554">
      <x:c r="A554" t="str">
        <x:v>2A007</x:v>
      </x:c>
      <x:c r="B554" t="str">
        <x:v>2º ano</x:v>
      </x:c>
      <x:c r="C554" t="str">
        <x:v>contraprova</x:v>
      </x:c>
      <x:c r="D554" t="str">
        <x:v>H01</x:v>
      </x:c>
      <x:c r="E554" t="n">
        <x:v>1</x:v>
      </x:c>
      <x:c r="F554" t="n">
        <x:v>2</x:v>
      </x:c>
      <x:c r="G554" t="n">
        <x:f>F554-E554</x:f>
        <x:v>1</x:v>
      </x:c>
      <x:c r="H554" s="2" t="n">
        <x:f>IFERROR(E554/F554,0)</x:f>
        <x:v>0.5</x:v>
      </x:c>
      <x:c r="I554" t="str">
        <x:v>Adequado</x:v>
      </x:c>
      <x:c r="J554" t="str">
        <x:v>CAEd_DadosExportados (2).zip</x:v>
      </x:c>
    </x:row>
    <x:row r="555">
      <x:c r="A555" t="str">
        <x:v>2A007</x:v>
      </x:c>
      <x:c r="B555" t="str">
        <x:v>2º ano</x:v>
      </x:c>
      <x:c r="C555" t="str">
        <x:v>contraprova</x:v>
      </x:c>
      <x:c r="D555" t="str">
        <x:v>H02</x:v>
      </x:c>
      <x:c r="E555" t="n">
        <x:v>2</x:v>
      </x:c>
      <x:c r="F555" t="n">
        <x:v>2</x:v>
      </x:c>
      <x:c r="G555" t="n">
        <x:f>F555-E555</x:f>
        <x:v>0</x:v>
      </x:c>
      <x:c r="H555" s="2" t="n">
        <x:f>IFERROR(E555/F555,0)</x:f>
        <x:v>1</x:v>
      </x:c>
      <x:c r="I555" t="str">
        <x:v>Adequado</x:v>
      </x:c>
      <x:c r="J555" t="str">
        <x:v>CAEd_DadosExportados (2).zip</x:v>
      </x:c>
    </x:row>
    <x:row r="556">
      <x:c r="A556" t="str">
        <x:v>2A007</x:v>
      </x:c>
      <x:c r="B556" t="str">
        <x:v>2º ano</x:v>
      </x:c>
      <x:c r="C556" t="str">
        <x:v>contraprova</x:v>
      </x:c>
      <x:c r="D556" t="str">
        <x:v>H03</x:v>
      </x:c>
      <x:c r="E556" t="n">
        <x:v>2</x:v>
      </x:c>
      <x:c r="F556" t="n">
        <x:v>2</x:v>
      </x:c>
      <x:c r="G556" t="n">
        <x:f>F556-E556</x:f>
        <x:v>0</x:v>
      </x:c>
      <x:c r="H556" s="2" t="n">
        <x:f>IFERROR(E556/F556,0)</x:f>
        <x:v>1</x:v>
      </x:c>
      <x:c r="I556" t="str">
        <x:v>Adequado</x:v>
      </x:c>
      <x:c r="J556" t="str">
        <x:v>CAEd_DadosExportados (2).zip</x:v>
      </x:c>
    </x:row>
    <x:row r="557">
      <x:c r="A557" t="str">
        <x:v>2A007</x:v>
      </x:c>
      <x:c r="B557" t="str">
        <x:v>2º ano</x:v>
      </x:c>
      <x:c r="C557" t="str">
        <x:v>contraprova</x:v>
      </x:c>
      <x:c r="D557" t="str">
        <x:v>H04</x:v>
      </x:c>
      <x:c r="E557" t="n">
        <x:v>2</x:v>
      </x:c>
      <x:c r="F557" t="n">
        <x:v>2</x:v>
      </x:c>
      <x:c r="G557" t="n">
        <x:f>F557-E557</x:f>
        <x:v>0</x:v>
      </x:c>
      <x:c r="H557" s="2" t="n">
        <x:f>IFERROR(E557/F557,0)</x:f>
        <x:v>1</x:v>
      </x:c>
      <x:c r="I557" t="str">
        <x:v>Adequado</x:v>
      </x:c>
      <x:c r="J557" t="str">
        <x:v>CAEd_DadosExportados (2).zip</x:v>
      </x:c>
    </x:row>
    <x:row r="558">
      <x:c r="A558" t="str">
        <x:v>2A007</x:v>
      </x:c>
      <x:c r="B558" t="str">
        <x:v>2º ano</x:v>
      </x:c>
      <x:c r="C558" t="str">
        <x:v>contraprova</x:v>
      </x:c>
      <x:c r="D558" t="str">
        <x:v>H05</x:v>
      </x:c>
      <x:c r="E558" t="n">
        <x:v>2</x:v>
      </x:c>
      <x:c r="F558" t="n">
        <x:v>2</x:v>
      </x:c>
      <x:c r="G558" t="n">
        <x:f>F558-E558</x:f>
        <x:v>0</x:v>
      </x:c>
      <x:c r="H558" s="2" t="n">
        <x:f>IFERROR(E558/F558,0)</x:f>
        <x:v>1</x:v>
      </x:c>
      <x:c r="I558" t="str">
        <x:v>Adequado</x:v>
      </x:c>
      <x:c r="J558" t="str">
        <x:v>CAEd_DadosExportados (2).zip</x:v>
      </x:c>
    </x:row>
    <x:row r="559">
      <x:c r="A559" t="str">
        <x:v>2A007</x:v>
      </x:c>
      <x:c r="B559" t="str">
        <x:v>2º ano</x:v>
      </x:c>
      <x:c r="C559" t="str">
        <x:v>contraprova</x:v>
      </x:c>
      <x:c r="D559" t="str">
        <x:v>H06</x:v>
      </x:c>
      <x:c r="E559" t="n">
        <x:v>2</x:v>
      </x:c>
      <x:c r="F559" t="n">
        <x:v>2</x:v>
      </x:c>
      <x:c r="G559" t="n">
        <x:f>F559-E559</x:f>
        <x:v>0</x:v>
      </x:c>
      <x:c r="H559" s="2" t="n">
        <x:f>IFERROR(E559/F559,0)</x:f>
        <x:v>1</x:v>
      </x:c>
      <x:c r="I559" t="str">
        <x:v>Adequado</x:v>
      </x:c>
      <x:c r="J559" t="str">
        <x:v>CAEd_DadosExportados (2).zip</x:v>
      </x:c>
    </x:row>
    <x:row r="560">
      <x:c r="A560" t="str">
        <x:v>2A007</x:v>
      </x:c>
      <x:c r="B560" t="str">
        <x:v>2º ano</x:v>
      </x:c>
      <x:c r="C560" t="str">
        <x:v>contraprova</x:v>
      </x:c>
      <x:c r="D560" t="str">
        <x:v>H07</x:v>
      </x:c>
      <x:c r="E560" t="n">
        <x:v>1</x:v>
      </x:c>
      <x:c r="F560" t="n">
        <x:v>2</x:v>
      </x:c>
      <x:c r="G560" t="n">
        <x:f>F560-E560</x:f>
        <x:v>1</x:v>
      </x:c>
      <x:c r="H560" s="2" t="n">
        <x:f>IFERROR(E560/F560,0)</x:f>
        <x:v>0.5</x:v>
      </x:c>
      <x:c r="I560" t="str">
        <x:v>Adequado</x:v>
      </x:c>
      <x:c r="J560" t="str">
        <x:v>CAEd_DadosExportados (2).zip</x:v>
      </x:c>
    </x:row>
    <x:row r="561">
      <x:c r="A561" t="str">
        <x:v>2A007</x:v>
      </x:c>
      <x:c r="B561" t="str">
        <x:v>2º ano</x:v>
      </x:c>
      <x:c r="C561" t="str">
        <x:v>contraprova</x:v>
      </x:c>
      <x:c r="D561" t="str">
        <x:v>H08</x:v>
      </x:c>
      <x:c r="E561" t="n">
        <x:v>1</x:v>
      </x:c>
      <x:c r="F561" t="n">
        <x:v>2</x:v>
      </x:c>
      <x:c r="G561" t="n">
        <x:f>F561-E561</x:f>
        <x:v>1</x:v>
      </x:c>
      <x:c r="H561" s="2" t="n">
        <x:f>IFERROR(E561/F561,0)</x:f>
        <x:v>0.5</x:v>
      </x:c>
      <x:c r="I561" t="str">
        <x:v>Adequado</x:v>
      </x:c>
      <x:c r="J561" t="str">
        <x:v>CAEd_DadosExportados (2).zip</x:v>
      </x:c>
    </x:row>
    <x:row r="562">
      <x:c r="A562" t="str">
        <x:v>2A007</x:v>
      </x:c>
      <x:c r="B562" t="str">
        <x:v>2º ano</x:v>
      </x:c>
      <x:c r="C562" t="str">
        <x:v>contraprova</x:v>
      </x:c>
      <x:c r="D562" t="str">
        <x:v>H09</x:v>
      </x:c>
      <x:c r="E562" t="n">
        <x:v>2</x:v>
      </x:c>
      <x:c r="F562" t="n">
        <x:v>2</x:v>
      </x:c>
      <x:c r="G562" t="n">
        <x:f>F562-E562</x:f>
        <x:v>0</x:v>
      </x:c>
      <x:c r="H562" s="2" t="n">
        <x:f>IFERROR(E562/F562,0)</x:f>
        <x:v>1</x:v>
      </x:c>
      <x:c r="I562" t="str">
        <x:v>Adequado</x:v>
      </x:c>
      <x:c r="J562" t="str">
        <x:v>CAEd_DadosExportados (2).zip</x:v>
      </x:c>
    </x:row>
    <x:row r="563">
      <x:c r="A563" t="str">
        <x:v>2A007</x:v>
      </x:c>
      <x:c r="B563" t="str">
        <x:v>2º ano</x:v>
      </x:c>
      <x:c r="C563" t="str">
        <x:v>contraprova</x:v>
      </x:c>
      <x:c r="D563" t="str">
        <x:v>H10</x:v>
      </x:c>
      <x:c r="E563" t="n">
        <x:v>2</x:v>
      </x:c>
      <x:c r="F563" t="n">
        <x:v>2</x:v>
      </x:c>
      <x:c r="G563" t="n">
        <x:f>F563-E563</x:f>
        <x:v>0</x:v>
      </x:c>
      <x:c r="H563" s="2" t="n">
        <x:f>IFERROR(E563/F563,0)</x:f>
        <x:v>1</x:v>
      </x:c>
      <x:c r="I563" t="str">
        <x:v>Adequado</x:v>
      </x:c>
      <x:c r="J563" t="str">
        <x:v>CAEd_DadosExportados (2).zip</x:v>
      </x:c>
    </x:row>
    <x:row r="564">
      <x:c r="A564" t="str">
        <x:v>2A007</x:v>
      </x:c>
      <x:c r="B564" t="str">
        <x:v>2º ano</x:v>
      </x:c>
      <x:c r="C564" t="str">
        <x:v>contraprova</x:v>
      </x:c>
      <x:c r="D564" t="str">
        <x:v>H11</x:v>
      </x:c>
      <x:c r="E564" t="n">
        <x:v>2</x:v>
      </x:c>
      <x:c r="F564" t="n">
        <x:v>2</x:v>
      </x:c>
      <x:c r="G564" t="n">
        <x:f>F564-E564</x:f>
        <x:v>0</x:v>
      </x:c>
      <x:c r="H564" s="2" t="n">
        <x:f>IFERROR(E564/F564,0)</x:f>
        <x:v>1</x:v>
      </x:c>
      <x:c r="I564" t="str">
        <x:v>Adequado</x:v>
      </x:c>
      <x:c r="J564" t="str">
        <x:v>CAEd_DadosExportados (2).zip</x:v>
      </x:c>
    </x:row>
    <x:row r="565">
      <x:c r="A565" t="str">
        <x:v>2A007</x:v>
      </x:c>
      <x:c r="B565" t="str">
        <x:v>2º ano</x:v>
      </x:c>
      <x:c r="C565" t="str">
        <x:v>referencia</x:v>
      </x:c>
      <x:c r="D565" t="str">
        <x:v>H01</x:v>
      </x:c>
      <x:c r="E565" t="n">
        <x:v>1</x:v>
      </x:c>
      <x:c r="F565" t="n">
        <x:v>2</x:v>
      </x:c>
      <x:c r="G565" t="n">
        <x:f>F565-E565</x:f>
        <x:v>1</x:v>
      </x:c>
      <x:c r="H565" s="2" t="n">
        <x:f>IFERROR(E565/F565,0)</x:f>
        <x:v>0.5</x:v>
      </x:c>
      <x:c r="I565" t="str">
        <x:v>Intermediário</x:v>
      </x:c>
      <x:c r="J565" t="str">
        <x:v>CAEd_DadosExportados (1).zip</x:v>
      </x:c>
    </x:row>
    <x:row r="566">
      <x:c r="A566" t="str">
        <x:v>2A007</x:v>
      </x:c>
      <x:c r="B566" t="str">
        <x:v>2º ano</x:v>
      </x:c>
      <x:c r="C566" t="str">
        <x:v>referencia</x:v>
      </x:c>
      <x:c r="D566" t="str">
        <x:v>H02</x:v>
      </x:c>
      <x:c r="E566" t="n">
        <x:v>0</x:v>
      </x:c>
      <x:c r="F566" t="n">
        <x:v>2</x:v>
      </x:c>
      <x:c r="G566" t="n">
        <x:f>F566-E566</x:f>
        <x:v>2</x:v>
      </x:c>
      <x:c r="H566" s="2" t="n">
        <x:f>IFERROR(E566/F566,0)</x:f>
        <x:v>0</x:v>
      </x:c>
      <x:c r="I566" t="str">
        <x:v>Intermediário</x:v>
      </x:c>
      <x:c r="J566" t="str">
        <x:v>CAEd_DadosExportados (1).zip</x:v>
      </x:c>
    </x:row>
    <x:row r="567">
      <x:c r="A567" t="str">
        <x:v>2A007</x:v>
      </x:c>
      <x:c r="B567" t="str">
        <x:v>2º ano</x:v>
      </x:c>
      <x:c r="C567" t="str">
        <x:v>referencia</x:v>
      </x:c>
      <x:c r="D567" t="str">
        <x:v>H03</x:v>
      </x:c>
      <x:c r="E567" t="n">
        <x:v>2</x:v>
      </x:c>
      <x:c r="F567" t="n">
        <x:v>2</x:v>
      </x:c>
      <x:c r="G567" t="n">
        <x:f>F567-E567</x:f>
        <x:v>0</x:v>
      </x:c>
      <x:c r="H567" s="2" t="n">
        <x:f>IFERROR(E567/F567,0)</x:f>
        <x:v>1</x:v>
      </x:c>
      <x:c r="I567" t="str">
        <x:v>Intermediário</x:v>
      </x:c>
      <x:c r="J567" t="str">
        <x:v>CAEd_DadosExportados (1).zip</x:v>
      </x:c>
    </x:row>
    <x:row r="568">
      <x:c r="A568" t="str">
        <x:v>2A007</x:v>
      </x:c>
      <x:c r="B568" t="str">
        <x:v>2º ano</x:v>
      </x:c>
      <x:c r="C568" t="str">
        <x:v>referencia</x:v>
      </x:c>
      <x:c r="D568" t="str">
        <x:v>H04</x:v>
      </x:c>
      <x:c r="E568" t="n">
        <x:v>2</x:v>
      </x:c>
      <x:c r="F568" t="n">
        <x:v>2</x:v>
      </x:c>
      <x:c r="G568" t="n">
        <x:f>F568-E568</x:f>
        <x:v>0</x:v>
      </x:c>
      <x:c r="H568" s="2" t="n">
        <x:f>IFERROR(E568/F568,0)</x:f>
        <x:v>1</x:v>
      </x:c>
      <x:c r="I568" t="str">
        <x:v>Intermediário</x:v>
      </x:c>
      <x:c r="J568" t="str">
        <x:v>CAEd_DadosExportados (1).zip</x:v>
      </x:c>
    </x:row>
    <x:row r="569">
      <x:c r="A569" t="str">
        <x:v>2A007</x:v>
      </x:c>
      <x:c r="B569" t="str">
        <x:v>2º ano</x:v>
      </x:c>
      <x:c r="C569" t="str">
        <x:v>referencia</x:v>
      </x:c>
      <x:c r="D569" t="str">
        <x:v>H05</x:v>
      </x:c>
      <x:c r="E569" t="n">
        <x:v>1</x:v>
      </x:c>
      <x:c r="F569" t="n">
        <x:v>1</x:v>
      </x:c>
      <x:c r="G569" t="n">
        <x:f>F569-E569</x:f>
        <x:v>0</x:v>
      </x:c>
      <x:c r="H569" s="2" t="n">
        <x:f>IFERROR(E569/F569,0)</x:f>
        <x:v>1</x:v>
      </x:c>
      <x:c r="I569" t="str">
        <x:v>Intermediário</x:v>
      </x:c>
      <x:c r="J569" t="str">
        <x:v>CAEd_DadosExportados (1).zip</x:v>
      </x:c>
    </x:row>
    <x:row r="570">
      <x:c r="A570" t="str">
        <x:v>2A007</x:v>
      </x:c>
      <x:c r="B570" t="str">
        <x:v>2º ano</x:v>
      </x:c>
      <x:c r="C570" t="str">
        <x:v>referencia</x:v>
      </x:c>
      <x:c r="D570" t="str">
        <x:v>H06</x:v>
      </x:c>
      <x:c r="E570" t="n">
        <x:v>2</x:v>
      </x:c>
      <x:c r="F570" t="n">
        <x:v>2</x:v>
      </x:c>
      <x:c r="G570" t="n">
        <x:f>F570-E570</x:f>
        <x:v>0</x:v>
      </x:c>
      <x:c r="H570" s="2" t="n">
        <x:f>IFERROR(E570/F570,0)</x:f>
        <x:v>1</x:v>
      </x:c>
      <x:c r="I570" t="str">
        <x:v>Intermediário</x:v>
      </x:c>
      <x:c r="J570" t="str">
        <x:v>CAEd_DadosExportados (1).zip</x:v>
      </x:c>
    </x:row>
    <x:row r="571">
      <x:c r="A571" t="str">
        <x:v>2A007</x:v>
      </x:c>
      <x:c r="B571" t="str">
        <x:v>2º ano</x:v>
      </x:c>
      <x:c r="C571" t="str">
        <x:v>referencia</x:v>
      </x:c>
      <x:c r="D571" t="str">
        <x:v>H07</x:v>
      </x:c>
      <x:c r="E571" t="n">
        <x:v>2</x:v>
      </x:c>
      <x:c r="F571" t="n">
        <x:v>2</x:v>
      </x:c>
      <x:c r="G571" t="n">
        <x:f>F571-E571</x:f>
        <x:v>0</x:v>
      </x:c>
      <x:c r="H571" s="2" t="n">
        <x:f>IFERROR(E571/F571,0)</x:f>
        <x:v>1</x:v>
      </x:c>
      <x:c r="I571" t="str">
        <x:v>Intermediário</x:v>
      </x:c>
      <x:c r="J571" t="str">
        <x:v>CAEd_DadosExportados (1).zip</x:v>
      </x:c>
    </x:row>
    <x:row r="572">
      <x:c r="A572" t="str">
        <x:v>2A007</x:v>
      </x:c>
      <x:c r="B572" t="str">
        <x:v>2º ano</x:v>
      </x:c>
      <x:c r="C572" t="str">
        <x:v>referencia</x:v>
      </x:c>
      <x:c r="D572" t="str">
        <x:v>H08</x:v>
      </x:c>
      <x:c r="E572" t="n">
        <x:v>1</x:v>
      </x:c>
      <x:c r="F572" t="n">
        <x:v>2</x:v>
      </x:c>
      <x:c r="G572" t="n">
        <x:f>F572-E572</x:f>
        <x:v>1</x:v>
      </x:c>
      <x:c r="H572" s="2" t="n">
        <x:f>IFERROR(E572/F572,0)</x:f>
        <x:v>0.5</x:v>
      </x:c>
      <x:c r="I572" t="str">
        <x:v>Intermediário</x:v>
      </x:c>
      <x:c r="J572" t="str">
        <x:v>CAEd_DadosExportados (1).zip</x:v>
      </x:c>
    </x:row>
    <x:row r="573">
      <x:c r="A573" t="str">
        <x:v>2A007</x:v>
      </x:c>
      <x:c r="B573" t="str">
        <x:v>2º ano</x:v>
      </x:c>
      <x:c r="C573" t="str">
        <x:v>referencia</x:v>
      </x:c>
      <x:c r="D573" t="str">
        <x:v>H09</x:v>
      </x:c>
      <x:c r="E573" t="n">
        <x:v>2</x:v>
      </x:c>
      <x:c r="F573" t="n">
        <x:v>2</x:v>
      </x:c>
      <x:c r="G573" t="n">
        <x:f>F573-E573</x:f>
        <x:v>0</x:v>
      </x:c>
      <x:c r="H573" s="2" t="n">
        <x:f>IFERROR(E573/F573,0)</x:f>
        <x:v>1</x:v>
      </x:c>
      <x:c r="I573" t="str">
        <x:v>Intermediário</x:v>
      </x:c>
      <x:c r="J573" t="str">
        <x:v>CAEd_DadosExportados (1).zip</x:v>
      </x:c>
    </x:row>
    <x:row r="574">
      <x:c r="A574" t="str">
        <x:v>2A007</x:v>
      </x:c>
      <x:c r="B574" t="str">
        <x:v>2º ano</x:v>
      </x:c>
      <x:c r="C574" t="str">
        <x:v>referencia</x:v>
      </x:c>
      <x:c r="D574" t="str">
        <x:v>H10</x:v>
      </x:c>
      <x:c r="E574" t="n">
        <x:v>0</x:v>
      </x:c>
      <x:c r="F574" t="n">
        <x:v>1</x:v>
      </x:c>
      <x:c r="G574" t="n">
        <x:f>F574-E574</x:f>
        <x:v>1</x:v>
      </x:c>
      <x:c r="H574" s="2" t="n">
        <x:f>IFERROR(E574/F574,0)</x:f>
        <x:v>0</x:v>
      </x:c>
      <x:c r="I574" t="str">
        <x:v>Intermediário</x:v>
      </x:c>
      <x:c r="J574" t="str">
        <x:v>CAEd_DadosExportados (1).zip</x:v>
      </x:c>
    </x:row>
    <x:row r="575">
      <x:c r="A575" t="str">
        <x:v>2A007</x:v>
      </x:c>
      <x:c r="B575" t="str">
        <x:v>2º ano</x:v>
      </x:c>
      <x:c r="C575" t="str">
        <x:v>referencia</x:v>
      </x:c>
      <x:c r="D575" t="str">
        <x:v>H11</x:v>
      </x:c>
      <x:c r="E575" t="n">
        <x:v>0</x:v>
      </x:c>
      <x:c r="F575" t="n">
        <x:v>2</x:v>
      </x:c>
      <x:c r="G575" t="n">
        <x:f>F575-E575</x:f>
        <x:v>2</x:v>
      </x:c>
      <x:c r="H575" s="2" t="n">
        <x:f>IFERROR(E575/F575,0)</x:f>
        <x:v>0</x:v>
      </x:c>
      <x:c r="I575" t="str">
        <x:v>Intermediário</x:v>
      </x:c>
      <x:c r="J575" t="str">
        <x:v>CAEd_DadosExportados (1).zip</x:v>
      </x:c>
    </x:row>
    <x:row r="576">
      <x:c r="A576" t="str">
        <x:v>2A007</x:v>
      </x:c>
      <x:c r="B576" t="str">
        <x:v>2º ano</x:v>
      </x:c>
      <x:c r="C576" t="str">
        <x:v>referencia</x:v>
      </x:c>
      <x:c r="D576" t="str">
        <x:v>H12</x:v>
      </x:c>
      <x:c r="E576" t="n">
        <x:v>0</x:v>
      </x:c>
      <x:c r="F576" t="n">
        <x:v>1</x:v>
      </x:c>
      <x:c r="G576" t="n">
        <x:f>F576-E576</x:f>
        <x:v>1</x:v>
      </x:c>
      <x:c r="H576" s="2" t="n">
        <x:f>IFERROR(E576/F576,0)</x:f>
        <x:v>0</x:v>
      </x:c>
      <x:c r="I576" t="str">
        <x:v>Intermediário</x:v>
      </x:c>
      <x:c r="J576" t="str">
        <x:v>CAEd_DadosExportados (1).zip</x:v>
      </x:c>
    </x:row>
    <x:row r="577">
      <x:c r="A577" t="str">
        <x:v>2A007</x:v>
      </x:c>
      <x:c r="B577" t="str">
        <x:v>2º ano</x:v>
      </x:c>
      <x:c r="C577" t="str">
        <x:v>referencia</x:v>
      </x:c>
      <x:c r="D577" t="str">
        <x:v>H13</x:v>
      </x:c>
      <x:c r="E577" t="n">
        <x:v>1</x:v>
      </x:c>
      <x:c r="F577" t="n">
        <x:v>1</x:v>
      </x:c>
      <x:c r="G577" t="n">
        <x:f>F577-E577</x:f>
        <x:v>0</x:v>
      </x:c>
      <x:c r="H577" s="2" t="n">
        <x:f>IFERROR(E577/F577,0)</x:f>
        <x:v>1</x:v>
      </x:c>
      <x:c r="I577" t="str">
        <x:v>Intermediário</x:v>
      </x:c>
      <x:c r="J577" t="str">
        <x:v>CAEd_DadosExportados (1).zip</x:v>
      </x:c>
    </x:row>
    <x:row r="578">
      <x:c r="A578" t="str">
        <x:v>2A008</x:v>
      </x:c>
      <x:c r="B578" t="str">
        <x:v>2º ano</x:v>
      </x:c>
      <x:c r="C578" t="str">
        <x:v>referencia</x:v>
      </x:c>
      <x:c r="D578" t="str">
        <x:v>H01</x:v>
      </x:c>
      <x:c r="E578" t="n">
        <x:v>2</x:v>
      </x:c>
      <x:c r="F578" t="n">
        <x:v>2</x:v>
      </x:c>
      <x:c r="G578" t="n">
        <x:f>F578-E578</x:f>
        <x:v>0</x:v>
      </x:c>
      <x:c r="H578" s="2" t="n">
        <x:f>IFERROR(E578/F578,0)</x:f>
        <x:v>1</x:v>
      </x:c>
      <x:c r="I578" t="str">
        <x:v>Adequado</x:v>
      </x:c>
      <x:c r="J578" t="str">
        <x:v>CAEd_DadosExportados (1).zip</x:v>
      </x:c>
    </x:row>
    <x:row r="579">
      <x:c r="A579" t="str">
        <x:v>2A008</x:v>
      </x:c>
      <x:c r="B579" t="str">
        <x:v>2º ano</x:v>
      </x:c>
      <x:c r="C579" t="str">
        <x:v>referencia</x:v>
      </x:c>
      <x:c r="D579" t="str">
        <x:v>H02</x:v>
      </x:c>
      <x:c r="E579" t="n">
        <x:v>2</x:v>
      </x:c>
      <x:c r="F579" t="n">
        <x:v>2</x:v>
      </x:c>
      <x:c r="G579" t="n">
        <x:f>F579-E579</x:f>
        <x:v>0</x:v>
      </x:c>
      <x:c r="H579" s="2" t="n">
        <x:f>IFERROR(E579/F579,0)</x:f>
        <x:v>1</x:v>
      </x:c>
      <x:c r="I579" t="str">
        <x:v>Adequado</x:v>
      </x:c>
      <x:c r="J579" t="str">
        <x:v>CAEd_DadosExportados (1).zip</x:v>
      </x:c>
    </x:row>
    <x:row r="580">
      <x:c r="A580" t="str">
        <x:v>2A008</x:v>
      </x:c>
      <x:c r="B580" t="str">
        <x:v>2º ano</x:v>
      </x:c>
      <x:c r="C580" t="str">
        <x:v>referencia</x:v>
      </x:c>
      <x:c r="D580" t="str">
        <x:v>H03</x:v>
      </x:c>
      <x:c r="E580" t="n">
        <x:v>2</x:v>
      </x:c>
      <x:c r="F580" t="n">
        <x:v>2</x:v>
      </x:c>
      <x:c r="G580" t="n">
        <x:f>F580-E580</x:f>
        <x:v>0</x:v>
      </x:c>
      <x:c r="H580" s="2" t="n">
        <x:f>IFERROR(E580/F580,0)</x:f>
        <x:v>1</x:v>
      </x:c>
      <x:c r="I580" t="str">
        <x:v>Adequado</x:v>
      </x:c>
      <x:c r="J580" t="str">
        <x:v>CAEd_DadosExportados (1).zip</x:v>
      </x:c>
    </x:row>
    <x:row r="581">
      <x:c r="A581" t="str">
        <x:v>2A008</x:v>
      </x:c>
      <x:c r="B581" t="str">
        <x:v>2º ano</x:v>
      </x:c>
      <x:c r="C581" t="str">
        <x:v>referencia</x:v>
      </x:c>
      <x:c r="D581" t="str">
        <x:v>H04</x:v>
      </x:c>
      <x:c r="E581" t="n">
        <x:v>2</x:v>
      </x:c>
      <x:c r="F581" t="n">
        <x:v>2</x:v>
      </x:c>
      <x:c r="G581" t="n">
        <x:f>F581-E581</x:f>
        <x:v>0</x:v>
      </x:c>
      <x:c r="H581" s="2" t="n">
        <x:f>IFERROR(E581/F581,0)</x:f>
        <x:v>1</x:v>
      </x:c>
      <x:c r="I581" t="str">
        <x:v>Adequado</x:v>
      </x:c>
      <x:c r="J581" t="str">
        <x:v>CAEd_DadosExportados (1).zip</x:v>
      </x:c>
    </x:row>
    <x:row r="582">
      <x:c r="A582" t="str">
        <x:v>2A008</x:v>
      </x:c>
      <x:c r="B582" t="str">
        <x:v>2º ano</x:v>
      </x:c>
      <x:c r="C582" t="str">
        <x:v>referencia</x:v>
      </x:c>
      <x:c r="D582" t="str">
        <x:v>H05</x:v>
      </x:c>
      <x:c r="E582" t="n">
        <x:v>1</x:v>
      </x:c>
      <x:c r="F582" t="n">
        <x:v>1</x:v>
      </x:c>
      <x:c r="G582" t="n">
        <x:f>F582-E582</x:f>
        <x:v>0</x:v>
      </x:c>
      <x:c r="H582" s="2" t="n">
        <x:f>IFERROR(E582/F582,0)</x:f>
        <x:v>1</x:v>
      </x:c>
      <x:c r="I582" t="str">
        <x:v>Adequado</x:v>
      </x:c>
      <x:c r="J582" t="str">
        <x:v>CAEd_DadosExportados (1).zip</x:v>
      </x:c>
    </x:row>
    <x:row r="583">
      <x:c r="A583" t="str">
        <x:v>2A008</x:v>
      </x:c>
      <x:c r="B583" t="str">
        <x:v>2º ano</x:v>
      </x:c>
      <x:c r="C583" t="str">
        <x:v>referencia</x:v>
      </x:c>
      <x:c r="D583" t="str">
        <x:v>H06</x:v>
      </x:c>
      <x:c r="E583" t="n">
        <x:v>2</x:v>
      </x:c>
      <x:c r="F583" t="n">
        <x:v>2</x:v>
      </x:c>
      <x:c r="G583" t="n">
        <x:f>F583-E583</x:f>
        <x:v>0</x:v>
      </x:c>
      <x:c r="H583" s="2" t="n">
        <x:f>IFERROR(E583/F583,0)</x:f>
        <x:v>1</x:v>
      </x:c>
      <x:c r="I583" t="str">
        <x:v>Adequado</x:v>
      </x:c>
      <x:c r="J583" t="str">
        <x:v>CAEd_DadosExportados (1).zip</x:v>
      </x:c>
    </x:row>
    <x:row r="584">
      <x:c r="A584" t="str">
        <x:v>2A008</x:v>
      </x:c>
      <x:c r="B584" t="str">
        <x:v>2º ano</x:v>
      </x:c>
      <x:c r="C584" t="str">
        <x:v>referencia</x:v>
      </x:c>
      <x:c r="D584" t="str">
        <x:v>H07</x:v>
      </x:c>
      <x:c r="E584" t="n">
        <x:v>2</x:v>
      </x:c>
      <x:c r="F584" t="n">
        <x:v>2</x:v>
      </x:c>
      <x:c r="G584" t="n">
        <x:f>F584-E584</x:f>
        <x:v>0</x:v>
      </x:c>
      <x:c r="H584" s="2" t="n">
        <x:f>IFERROR(E584/F584,0)</x:f>
        <x:v>1</x:v>
      </x:c>
      <x:c r="I584" t="str">
        <x:v>Adequado</x:v>
      </x:c>
      <x:c r="J584" t="str">
        <x:v>CAEd_DadosExportados (1).zip</x:v>
      </x:c>
    </x:row>
    <x:row r="585">
      <x:c r="A585" t="str">
        <x:v>2A008</x:v>
      </x:c>
      <x:c r="B585" t="str">
        <x:v>2º ano</x:v>
      </x:c>
      <x:c r="C585" t="str">
        <x:v>referencia</x:v>
      </x:c>
      <x:c r="D585" t="str">
        <x:v>H08</x:v>
      </x:c>
      <x:c r="E585" t="n">
        <x:v>2</x:v>
      </x:c>
      <x:c r="F585" t="n">
        <x:v>2</x:v>
      </x:c>
      <x:c r="G585" t="n">
        <x:f>F585-E585</x:f>
        <x:v>0</x:v>
      </x:c>
      <x:c r="H585" s="2" t="n">
        <x:f>IFERROR(E585/F585,0)</x:f>
        <x:v>1</x:v>
      </x:c>
      <x:c r="I585" t="str">
        <x:v>Adequado</x:v>
      </x:c>
      <x:c r="J585" t="str">
        <x:v>CAEd_DadosExportados (1).zip</x:v>
      </x:c>
    </x:row>
    <x:row r="586">
      <x:c r="A586" t="str">
        <x:v>2A008</x:v>
      </x:c>
      <x:c r="B586" t="str">
        <x:v>2º ano</x:v>
      </x:c>
      <x:c r="C586" t="str">
        <x:v>referencia</x:v>
      </x:c>
      <x:c r="D586" t="str">
        <x:v>H09</x:v>
      </x:c>
      <x:c r="E586" t="n">
        <x:v>2</x:v>
      </x:c>
      <x:c r="F586" t="n">
        <x:v>2</x:v>
      </x:c>
      <x:c r="G586" t="n">
        <x:f>F586-E586</x:f>
        <x:v>0</x:v>
      </x:c>
      <x:c r="H586" s="2" t="n">
        <x:f>IFERROR(E586/F586,0)</x:f>
        <x:v>1</x:v>
      </x:c>
      <x:c r="I586" t="str">
        <x:v>Adequado</x:v>
      </x:c>
      <x:c r="J586" t="str">
        <x:v>CAEd_DadosExportados (1).zip</x:v>
      </x:c>
    </x:row>
    <x:row r="587">
      <x:c r="A587" t="str">
        <x:v>2A008</x:v>
      </x:c>
      <x:c r="B587" t="str">
        <x:v>2º ano</x:v>
      </x:c>
      <x:c r="C587" t="str">
        <x:v>referencia</x:v>
      </x:c>
      <x:c r="D587" t="str">
        <x:v>H10</x:v>
      </x:c>
      <x:c r="E587" t="n">
        <x:v>1</x:v>
      </x:c>
      <x:c r="F587" t="n">
        <x:v>1</x:v>
      </x:c>
      <x:c r="G587" t="n">
        <x:f>F587-E587</x:f>
        <x:v>0</x:v>
      </x:c>
      <x:c r="H587" s="2" t="n">
        <x:f>IFERROR(E587/F587,0)</x:f>
        <x:v>1</x:v>
      </x:c>
      <x:c r="I587" t="str">
        <x:v>Adequado</x:v>
      </x:c>
      <x:c r="J587" t="str">
        <x:v>CAEd_DadosExportados (1).zip</x:v>
      </x:c>
    </x:row>
    <x:row r="588">
      <x:c r="A588" t="str">
        <x:v>2A008</x:v>
      </x:c>
      <x:c r="B588" t="str">
        <x:v>2º ano</x:v>
      </x:c>
      <x:c r="C588" t="str">
        <x:v>referencia</x:v>
      </x:c>
      <x:c r="D588" t="str">
        <x:v>H11</x:v>
      </x:c>
      <x:c r="E588" t="n">
        <x:v>2</x:v>
      </x:c>
      <x:c r="F588" t="n">
        <x:v>2</x:v>
      </x:c>
      <x:c r="G588" t="n">
        <x:f>F588-E588</x:f>
        <x:v>0</x:v>
      </x:c>
      <x:c r="H588" s="2" t="n">
        <x:f>IFERROR(E588/F588,0)</x:f>
        <x:v>1</x:v>
      </x:c>
      <x:c r="I588" t="str">
        <x:v>Adequado</x:v>
      </x:c>
      <x:c r="J588" t="str">
        <x:v>CAEd_DadosExportados (1).zip</x:v>
      </x:c>
    </x:row>
    <x:row r="589">
      <x:c r="A589" t="str">
        <x:v>2A008</x:v>
      </x:c>
      <x:c r="B589" t="str">
        <x:v>2º ano</x:v>
      </x:c>
      <x:c r="C589" t="str">
        <x:v>referencia</x:v>
      </x:c>
      <x:c r="D589" t="str">
        <x:v>H12</x:v>
      </x:c>
      <x:c r="E589" t="n">
        <x:v>1</x:v>
      </x:c>
      <x:c r="F589" t="n">
        <x:v>1</x:v>
      </x:c>
      <x:c r="G589" t="n">
        <x:f>F589-E589</x:f>
        <x:v>0</x:v>
      </x:c>
      <x:c r="H589" s="2" t="n">
        <x:f>IFERROR(E589/F589,0)</x:f>
        <x:v>1</x:v>
      </x:c>
      <x:c r="I589" t="str">
        <x:v>Adequado</x:v>
      </x:c>
      <x:c r="J589" t="str">
        <x:v>CAEd_DadosExportados (1).zip</x:v>
      </x:c>
    </x:row>
    <x:row r="590">
      <x:c r="A590" t="str">
        <x:v>2A008</x:v>
      </x:c>
      <x:c r="B590" t="str">
        <x:v>2º ano</x:v>
      </x:c>
      <x:c r="C590" t="str">
        <x:v>referencia</x:v>
      </x:c>
      <x:c r="D590" t="str">
        <x:v>H13</x:v>
      </x:c>
      <x:c r="E590" t="n">
        <x:v>1</x:v>
      </x:c>
      <x:c r="F590" t="n">
        <x:v>1</x:v>
      </x:c>
      <x:c r="G590" t="n">
        <x:f>F590-E590</x:f>
        <x:v>0</x:v>
      </x:c>
      <x:c r="H590" s="2" t="n">
        <x:f>IFERROR(E590/F590,0)</x:f>
        <x:v>1</x:v>
      </x:c>
      <x:c r="I590" t="str">
        <x:v>Adequado</x:v>
      </x:c>
      <x:c r="J590" t="str">
        <x:v>CAEd_DadosExportados (1).zip</x:v>
      </x:c>
    </x:row>
    <x:row r="591">
      <x:c r="A591" t="str">
        <x:v>2A009</x:v>
      </x:c>
      <x:c r="B591" t="str">
        <x:v>2º ano</x:v>
      </x:c>
      <x:c r="C591" t="str">
        <x:v>contraprova</x:v>
      </x:c>
      <x:c r="D591" t="str">
        <x:v>H01</x:v>
      </x:c>
      <x:c r="E591" t="n">
        <x:v>2</x:v>
      </x:c>
      <x:c r="F591" t="n">
        <x:v>2</x:v>
      </x:c>
      <x:c r="G591" t="n">
        <x:f>F591-E591</x:f>
        <x:v>0</x:v>
      </x:c>
      <x:c r="H591" s="2" t="n">
        <x:f>IFERROR(E591/F591,0)</x:f>
        <x:v>1</x:v>
      </x:c>
      <x:c r="I591" t="str">
        <x:v>Adequado</x:v>
      </x:c>
      <x:c r="J591" t="str">
        <x:v>CAEd_DadosExportados (2).zip</x:v>
      </x:c>
    </x:row>
    <x:row r="592">
      <x:c r="A592" t="str">
        <x:v>2A009</x:v>
      </x:c>
      <x:c r="B592" t="str">
        <x:v>2º ano</x:v>
      </x:c>
      <x:c r="C592" t="str">
        <x:v>contraprova</x:v>
      </x:c>
      <x:c r="D592" t="str">
        <x:v>H02</x:v>
      </x:c>
      <x:c r="E592" t="n">
        <x:v>2</x:v>
      </x:c>
      <x:c r="F592" t="n">
        <x:v>2</x:v>
      </x:c>
      <x:c r="G592" t="n">
        <x:f>F592-E592</x:f>
        <x:v>0</x:v>
      </x:c>
      <x:c r="H592" s="2" t="n">
        <x:f>IFERROR(E592/F592,0)</x:f>
        <x:v>1</x:v>
      </x:c>
      <x:c r="I592" t="str">
        <x:v>Adequado</x:v>
      </x:c>
      <x:c r="J592" t="str">
        <x:v>CAEd_DadosExportados (2).zip</x:v>
      </x:c>
    </x:row>
    <x:row r="593">
      <x:c r="A593" t="str">
        <x:v>2A009</x:v>
      </x:c>
      <x:c r="B593" t="str">
        <x:v>2º ano</x:v>
      </x:c>
      <x:c r="C593" t="str">
        <x:v>contraprova</x:v>
      </x:c>
      <x:c r="D593" t="str">
        <x:v>H03</x:v>
      </x:c>
      <x:c r="E593" t="n">
        <x:v>2</x:v>
      </x:c>
      <x:c r="F593" t="n">
        <x:v>2</x:v>
      </x:c>
      <x:c r="G593" t="n">
        <x:f>F593-E593</x:f>
        <x:v>0</x:v>
      </x:c>
      <x:c r="H593" s="2" t="n">
        <x:f>IFERROR(E593/F593,0)</x:f>
        <x:v>1</x:v>
      </x:c>
      <x:c r="I593" t="str">
        <x:v>Adequado</x:v>
      </x:c>
      <x:c r="J593" t="str">
        <x:v>CAEd_DadosExportados (2).zip</x:v>
      </x:c>
    </x:row>
    <x:row r="594">
      <x:c r="A594" t="str">
        <x:v>2A009</x:v>
      </x:c>
      <x:c r="B594" t="str">
        <x:v>2º ano</x:v>
      </x:c>
      <x:c r="C594" t="str">
        <x:v>contraprova</x:v>
      </x:c>
      <x:c r="D594" t="str">
        <x:v>H04</x:v>
      </x:c>
      <x:c r="E594" t="n">
        <x:v>2</x:v>
      </x:c>
      <x:c r="F594" t="n">
        <x:v>2</x:v>
      </x:c>
      <x:c r="G594" t="n">
        <x:f>F594-E594</x:f>
        <x:v>0</x:v>
      </x:c>
      <x:c r="H594" s="2" t="n">
        <x:f>IFERROR(E594/F594,0)</x:f>
        <x:v>1</x:v>
      </x:c>
      <x:c r="I594" t="str">
        <x:v>Adequado</x:v>
      </x:c>
      <x:c r="J594" t="str">
        <x:v>CAEd_DadosExportados (2).zip</x:v>
      </x:c>
    </x:row>
    <x:row r="595">
      <x:c r="A595" t="str">
        <x:v>2A009</x:v>
      </x:c>
      <x:c r="B595" t="str">
        <x:v>2º ano</x:v>
      </x:c>
      <x:c r="C595" t="str">
        <x:v>contraprova</x:v>
      </x:c>
      <x:c r="D595" t="str">
        <x:v>H05</x:v>
      </x:c>
      <x:c r="E595" t="n">
        <x:v>2</x:v>
      </x:c>
      <x:c r="F595" t="n">
        <x:v>2</x:v>
      </x:c>
      <x:c r="G595" t="n">
        <x:f>F595-E595</x:f>
        <x:v>0</x:v>
      </x:c>
      <x:c r="H595" s="2" t="n">
        <x:f>IFERROR(E595/F595,0)</x:f>
        <x:v>1</x:v>
      </x:c>
      <x:c r="I595" t="str">
        <x:v>Adequado</x:v>
      </x:c>
      <x:c r="J595" t="str">
        <x:v>CAEd_DadosExportados (2).zip</x:v>
      </x:c>
    </x:row>
    <x:row r="596">
      <x:c r="A596" t="str">
        <x:v>2A009</x:v>
      </x:c>
      <x:c r="B596" t="str">
        <x:v>2º ano</x:v>
      </x:c>
      <x:c r="C596" t="str">
        <x:v>contraprova</x:v>
      </x:c>
      <x:c r="D596" t="str">
        <x:v>H06</x:v>
      </x:c>
      <x:c r="E596" t="n">
        <x:v>2</x:v>
      </x:c>
      <x:c r="F596" t="n">
        <x:v>2</x:v>
      </x:c>
      <x:c r="G596" t="n">
        <x:f>F596-E596</x:f>
        <x:v>0</x:v>
      </x:c>
      <x:c r="H596" s="2" t="n">
        <x:f>IFERROR(E596/F596,0)</x:f>
        <x:v>1</x:v>
      </x:c>
      <x:c r="I596" t="str">
        <x:v>Adequado</x:v>
      </x:c>
      <x:c r="J596" t="str">
        <x:v>CAEd_DadosExportados (2).zip</x:v>
      </x:c>
    </x:row>
    <x:row r="597">
      <x:c r="A597" t="str">
        <x:v>2A009</x:v>
      </x:c>
      <x:c r="B597" t="str">
        <x:v>2º ano</x:v>
      </x:c>
      <x:c r="C597" t="str">
        <x:v>contraprova</x:v>
      </x:c>
      <x:c r="D597" t="str">
        <x:v>H07</x:v>
      </x:c>
      <x:c r="E597" t="n">
        <x:v>2</x:v>
      </x:c>
      <x:c r="F597" t="n">
        <x:v>2</x:v>
      </x:c>
      <x:c r="G597" t="n">
        <x:f>F597-E597</x:f>
        <x:v>0</x:v>
      </x:c>
      <x:c r="H597" s="2" t="n">
        <x:f>IFERROR(E597/F597,0)</x:f>
        <x:v>1</x:v>
      </x:c>
      <x:c r="I597" t="str">
        <x:v>Adequado</x:v>
      </x:c>
      <x:c r="J597" t="str">
        <x:v>CAEd_DadosExportados (2).zip</x:v>
      </x:c>
    </x:row>
    <x:row r="598">
      <x:c r="A598" t="str">
        <x:v>2A009</x:v>
      </x:c>
      <x:c r="B598" t="str">
        <x:v>2º ano</x:v>
      </x:c>
      <x:c r="C598" t="str">
        <x:v>contraprova</x:v>
      </x:c>
      <x:c r="D598" t="str">
        <x:v>H08</x:v>
      </x:c>
      <x:c r="E598" t="n">
        <x:v>2</x:v>
      </x:c>
      <x:c r="F598" t="n">
        <x:v>2</x:v>
      </x:c>
      <x:c r="G598" t="n">
        <x:f>F598-E598</x:f>
        <x:v>0</x:v>
      </x:c>
      <x:c r="H598" s="2" t="n">
        <x:f>IFERROR(E598/F598,0)</x:f>
        <x:v>1</x:v>
      </x:c>
      <x:c r="I598" t="str">
        <x:v>Adequado</x:v>
      </x:c>
      <x:c r="J598" t="str">
        <x:v>CAEd_DadosExportados (2).zip</x:v>
      </x:c>
    </x:row>
    <x:row r="599">
      <x:c r="A599" t="str">
        <x:v>2A009</x:v>
      </x:c>
      <x:c r="B599" t="str">
        <x:v>2º ano</x:v>
      </x:c>
      <x:c r="C599" t="str">
        <x:v>contraprova</x:v>
      </x:c>
      <x:c r="D599" t="str">
        <x:v>H09</x:v>
      </x:c>
      <x:c r="E599" t="n">
        <x:v>2</x:v>
      </x:c>
      <x:c r="F599" t="n">
        <x:v>2</x:v>
      </x:c>
      <x:c r="G599" t="n">
        <x:f>F599-E599</x:f>
        <x:v>0</x:v>
      </x:c>
      <x:c r="H599" s="2" t="n">
        <x:f>IFERROR(E599/F599,0)</x:f>
        <x:v>1</x:v>
      </x:c>
      <x:c r="I599" t="str">
        <x:v>Adequado</x:v>
      </x:c>
      <x:c r="J599" t="str">
        <x:v>CAEd_DadosExportados (2).zip</x:v>
      </x:c>
    </x:row>
    <x:row r="600">
      <x:c r="A600" t="str">
        <x:v>2A009</x:v>
      </x:c>
      <x:c r="B600" t="str">
        <x:v>2º ano</x:v>
      </x:c>
      <x:c r="C600" t="str">
        <x:v>contraprova</x:v>
      </x:c>
      <x:c r="D600" t="str">
        <x:v>H10</x:v>
      </x:c>
      <x:c r="E600" t="n">
        <x:v>2</x:v>
      </x:c>
      <x:c r="F600" t="n">
        <x:v>2</x:v>
      </x:c>
      <x:c r="G600" t="n">
        <x:f>F600-E600</x:f>
        <x:v>0</x:v>
      </x:c>
      <x:c r="H600" s="2" t="n">
        <x:f>IFERROR(E600/F600,0)</x:f>
        <x:v>1</x:v>
      </x:c>
      <x:c r="I600" t="str">
        <x:v>Adequado</x:v>
      </x:c>
      <x:c r="J600" t="str">
        <x:v>CAEd_DadosExportados (2).zip</x:v>
      </x:c>
    </x:row>
    <x:row r="601">
      <x:c r="A601" t="str">
        <x:v>2A009</x:v>
      </x:c>
      <x:c r="B601" t="str">
        <x:v>2º ano</x:v>
      </x:c>
      <x:c r="C601" t="str">
        <x:v>contraprova</x:v>
      </x:c>
      <x:c r="D601" t="str">
        <x:v>H11</x:v>
      </x:c>
      <x:c r="E601" t="n">
        <x:v>2</x:v>
      </x:c>
      <x:c r="F601" t="n">
        <x:v>2</x:v>
      </x:c>
      <x:c r="G601" t="n">
        <x:f>F601-E601</x:f>
        <x:v>0</x:v>
      </x:c>
      <x:c r="H601" s="2" t="n">
        <x:f>IFERROR(E601/F601,0)</x:f>
        <x:v>1</x:v>
      </x:c>
      <x:c r="I601" t="str">
        <x:v>Adequado</x:v>
      </x:c>
      <x:c r="J601" t="str">
        <x:v>CAEd_DadosExportados (2).zip</x:v>
      </x:c>
    </x:row>
    <x:row r="602">
      <x:c r="A602" t="str">
        <x:v>2A009</x:v>
      </x:c>
      <x:c r="B602" t="str">
        <x:v>2º ano</x:v>
      </x:c>
      <x:c r="C602" t="str">
        <x:v>referencia</x:v>
      </x:c>
      <x:c r="D602" t="str">
        <x:v>H01</x:v>
      </x:c>
      <x:c r="E602" t="n">
        <x:v>1</x:v>
      </x:c>
      <x:c r="F602" t="n">
        <x:v>2</x:v>
      </x:c>
      <x:c r="G602" t="n">
        <x:f>F602-E602</x:f>
        <x:v>1</x:v>
      </x:c>
      <x:c r="H602" s="2" t="n">
        <x:f>IFERROR(E602/F602,0)</x:f>
        <x:v>0.5</x:v>
      </x:c>
      <x:c r="I602" t="str">
        <x:v>Defasagem</x:v>
      </x:c>
      <x:c r="J602" t="str">
        <x:v>CAEd_DadosExportados (1).zip</x:v>
      </x:c>
    </x:row>
    <x:row r="603">
      <x:c r="A603" t="str">
        <x:v>2A009</x:v>
      </x:c>
      <x:c r="B603" t="str">
        <x:v>2º ano</x:v>
      </x:c>
      <x:c r="C603" t="str">
        <x:v>referencia</x:v>
      </x:c>
      <x:c r="D603" t="str">
        <x:v>H02</x:v>
      </x:c>
      <x:c r="E603" t="n">
        <x:v>0</x:v>
      </x:c>
      <x:c r="F603" t="n">
        <x:v>2</x:v>
      </x:c>
      <x:c r="G603" t="n">
        <x:f>F603-E603</x:f>
        <x:v>2</x:v>
      </x:c>
      <x:c r="H603" s="2" t="n">
        <x:f>IFERROR(E603/F603,0)</x:f>
        <x:v>0</x:v>
      </x:c>
      <x:c r="I603" t="str">
        <x:v>Defasagem</x:v>
      </x:c>
      <x:c r="J603" t="str">
        <x:v>CAEd_DadosExportados (1).zip</x:v>
      </x:c>
    </x:row>
    <x:row r="604">
      <x:c r="A604" t="str">
        <x:v>2A009</x:v>
      </x:c>
      <x:c r="B604" t="str">
        <x:v>2º ano</x:v>
      </x:c>
      <x:c r="C604" t="str">
        <x:v>referencia</x:v>
      </x:c>
      <x:c r="D604" t="str">
        <x:v>H03</x:v>
      </x:c>
      <x:c r="E604" t="n">
        <x:v>2</x:v>
      </x:c>
      <x:c r="F604" t="n">
        <x:v>2</x:v>
      </x:c>
      <x:c r="G604" t="n">
        <x:f>F604-E604</x:f>
        <x:v>0</x:v>
      </x:c>
      <x:c r="H604" s="2" t="n">
        <x:f>IFERROR(E604/F604,0)</x:f>
        <x:v>1</x:v>
      </x:c>
      <x:c r="I604" t="str">
        <x:v>Defasagem</x:v>
      </x:c>
      <x:c r="J604" t="str">
        <x:v>CAEd_DadosExportados (1).zip</x:v>
      </x:c>
    </x:row>
    <x:row r="605">
      <x:c r="A605" t="str">
        <x:v>2A009</x:v>
      </x:c>
      <x:c r="B605" t="str">
        <x:v>2º ano</x:v>
      </x:c>
      <x:c r="C605" t="str">
        <x:v>referencia</x:v>
      </x:c>
      <x:c r="D605" t="str">
        <x:v>H04</x:v>
      </x:c>
      <x:c r="E605" t="n">
        <x:v>2</x:v>
      </x:c>
      <x:c r="F605" t="n">
        <x:v>2</x:v>
      </x:c>
      <x:c r="G605" t="n">
        <x:f>F605-E605</x:f>
        <x:v>0</x:v>
      </x:c>
      <x:c r="H605" s="2" t="n">
        <x:f>IFERROR(E605/F605,0)</x:f>
        <x:v>1</x:v>
      </x:c>
      <x:c r="I605" t="str">
        <x:v>Defasagem</x:v>
      </x:c>
      <x:c r="J605" t="str">
        <x:v>CAEd_DadosExportados (1).zip</x:v>
      </x:c>
    </x:row>
    <x:row r="606">
      <x:c r="A606" t="str">
        <x:v>2A009</x:v>
      </x:c>
      <x:c r="B606" t="str">
        <x:v>2º ano</x:v>
      </x:c>
      <x:c r="C606" t="str">
        <x:v>referencia</x:v>
      </x:c>
      <x:c r="D606" t="str">
        <x:v>H05</x:v>
      </x:c>
      <x:c r="E606" t="n">
        <x:v>1</x:v>
      </x:c>
      <x:c r="F606" t="n">
        <x:v>1</x:v>
      </x:c>
      <x:c r="G606" t="n">
        <x:f>F606-E606</x:f>
        <x:v>0</x:v>
      </x:c>
      <x:c r="H606" s="2" t="n">
        <x:f>IFERROR(E606/F606,0)</x:f>
        <x:v>1</x:v>
      </x:c>
      <x:c r="I606" t="str">
        <x:v>Defasagem</x:v>
      </x:c>
      <x:c r="J606" t="str">
        <x:v>CAEd_DadosExportados (1).zip</x:v>
      </x:c>
    </x:row>
    <x:row r="607">
      <x:c r="A607" t="str">
        <x:v>2A009</x:v>
      </x:c>
      <x:c r="B607" t="str">
        <x:v>2º ano</x:v>
      </x:c>
      <x:c r="C607" t="str">
        <x:v>referencia</x:v>
      </x:c>
      <x:c r="D607" t="str">
        <x:v>H06</x:v>
      </x:c>
      <x:c r="E607" t="n">
        <x:v>0</x:v>
      </x:c>
      <x:c r="F607" t="n">
        <x:v>2</x:v>
      </x:c>
      <x:c r="G607" t="n">
        <x:f>F607-E607</x:f>
        <x:v>2</x:v>
      </x:c>
      <x:c r="H607" s="2" t="n">
        <x:f>IFERROR(E607/F607,0)</x:f>
        <x:v>0</x:v>
      </x:c>
      <x:c r="I607" t="str">
        <x:v>Defasagem</x:v>
      </x:c>
      <x:c r="J607" t="str">
        <x:v>CAEd_DadosExportados (1).zip</x:v>
      </x:c>
    </x:row>
    <x:row r="608">
      <x:c r="A608" t="str">
        <x:v>2A009</x:v>
      </x:c>
      <x:c r="B608" t="str">
        <x:v>2º ano</x:v>
      </x:c>
      <x:c r="C608" t="str">
        <x:v>referencia</x:v>
      </x:c>
      <x:c r="D608" t="str">
        <x:v>H07</x:v>
      </x:c>
      <x:c r="E608" t="n">
        <x:v>1</x:v>
      </x:c>
      <x:c r="F608" t="n">
        <x:v>2</x:v>
      </x:c>
      <x:c r="G608" t="n">
        <x:f>F608-E608</x:f>
        <x:v>1</x:v>
      </x:c>
      <x:c r="H608" s="2" t="n">
        <x:f>IFERROR(E608/F608,0)</x:f>
        <x:v>0.5</x:v>
      </x:c>
      <x:c r="I608" t="str">
        <x:v>Defasagem</x:v>
      </x:c>
      <x:c r="J608" t="str">
        <x:v>CAEd_DadosExportados (1).zip</x:v>
      </x:c>
    </x:row>
    <x:row r="609">
      <x:c r="A609" t="str">
        <x:v>2A009</x:v>
      </x:c>
      <x:c r="B609" t="str">
        <x:v>2º ano</x:v>
      </x:c>
      <x:c r="C609" t="str">
        <x:v>referencia</x:v>
      </x:c>
      <x:c r="D609" t="str">
        <x:v>H08</x:v>
      </x:c>
      <x:c r="E609" t="n">
        <x:v>1</x:v>
      </x:c>
      <x:c r="F609" t="n">
        <x:v>2</x:v>
      </x:c>
      <x:c r="G609" t="n">
        <x:f>F609-E609</x:f>
        <x:v>1</x:v>
      </x:c>
      <x:c r="H609" s="2" t="n">
        <x:f>IFERROR(E609/F609,0)</x:f>
        <x:v>0.5</x:v>
      </x:c>
      <x:c r="I609" t="str">
        <x:v>Defasagem</x:v>
      </x:c>
      <x:c r="J609" t="str">
        <x:v>CAEd_DadosExportados (1).zip</x:v>
      </x:c>
    </x:row>
    <x:row r="610">
      <x:c r="A610" t="str">
        <x:v>2A009</x:v>
      </x:c>
      <x:c r="B610" t="str">
        <x:v>2º ano</x:v>
      </x:c>
      <x:c r="C610" t="str">
        <x:v>referencia</x:v>
      </x:c>
      <x:c r="D610" t="str">
        <x:v>H09</x:v>
      </x:c>
      <x:c r="E610" t="n">
        <x:v>2</x:v>
      </x:c>
      <x:c r="F610" t="n">
        <x:v>2</x:v>
      </x:c>
      <x:c r="G610" t="n">
        <x:f>F610-E610</x:f>
        <x:v>0</x:v>
      </x:c>
      <x:c r="H610" s="2" t="n">
        <x:f>IFERROR(E610/F610,0)</x:f>
        <x:v>1</x:v>
      </x:c>
      <x:c r="I610" t="str">
        <x:v>Defasagem</x:v>
      </x:c>
      <x:c r="J610" t="str">
        <x:v>CAEd_DadosExportados (1).zip</x:v>
      </x:c>
    </x:row>
    <x:row r="611">
      <x:c r="A611" t="str">
        <x:v>2A009</x:v>
      </x:c>
      <x:c r="B611" t="str">
        <x:v>2º ano</x:v>
      </x:c>
      <x:c r="C611" t="str">
        <x:v>referencia</x:v>
      </x:c>
      <x:c r="D611" t="str">
        <x:v>H10</x:v>
      </x:c>
      <x:c r="E611" t="n">
        <x:v>0</x:v>
      </x:c>
      <x:c r="F611" t="n">
        <x:v>1</x:v>
      </x:c>
      <x:c r="G611" t="n">
        <x:f>F611-E611</x:f>
        <x:v>1</x:v>
      </x:c>
      <x:c r="H611" s="2" t="n">
        <x:f>IFERROR(E611/F611,0)</x:f>
        <x:v>0</x:v>
      </x:c>
      <x:c r="I611" t="str">
        <x:v>Defasagem</x:v>
      </x:c>
      <x:c r="J611" t="str">
        <x:v>CAEd_DadosExportados (1).zip</x:v>
      </x:c>
    </x:row>
    <x:row r="612">
      <x:c r="A612" t="str">
        <x:v>2A009</x:v>
      </x:c>
      <x:c r="B612" t="str">
        <x:v>2º ano</x:v>
      </x:c>
      <x:c r="C612" t="str">
        <x:v>referencia</x:v>
      </x:c>
      <x:c r="D612" t="str">
        <x:v>H11</x:v>
      </x:c>
      <x:c r="E612" t="n">
        <x:v>0</x:v>
      </x:c>
      <x:c r="F612" t="n">
        <x:v>2</x:v>
      </x:c>
      <x:c r="G612" t="n">
        <x:f>F612-E612</x:f>
        <x:v>2</x:v>
      </x:c>
      <x:c r="H612" s="2" t="n">
        <x:f>IFERROR(E612/F612,0)</x:f>
        <x:v>0</x:v>
      </x:c>
      <x:c r="I612" t="str">
        <x:v>Defasagem</x:v>
      </x:c>
      <x:c r="J612" t="str">
        <x:v>CAEd_DadosExportados (1).zip</x:v>
      </x:c>
    </x:row>
    <x:row r="613">
      <x:c r="A613" t="str">
        <x:v>2A009</x:v>
      </x:c>
      <x:c r="B613" t="str">
        <x:v>2º ano</x:v>
      </x:c>
      <x:c r="C613" t="str">
        <x:v>referencia</x:v>
      </x:c>
      <x:c r="D613" t="str">
        <x:v>H12</x:v>
      </x:c>
      <x:c r="E613" t="n">
        <x:v>0</x:v>
      </x:c>
      <x:c r="F613" t="n">
        <x:v>1</x:v>
      </x:c>
      <x:c r="G613" t="n">
        <x:f>F613-E613</x:f>
        <x:v>1</x:v>
      </x:c>
      <x:c r="H613" s="2" t="n">
        <x:f>IFERROR(E613/F613,0)</x:f>
        <x:v>0</x:v>
      </x:c>
      <x:c r="I613" t="str">
        <x:v>Defasagem</x:v>
      </x:c>
      <x:c r="J613" t="str">
        <x:v>CAEd_DadosExportados (1).zip</x:v>
      </x:c>
    </x:row>
    <x:row r="614">
      <x:c r="A614" t="str">
        <x:v>2A009</x:v>
      </x:c>
      <x:c r="B614" t="str">
        <x:v>2º ano</x:v>
      </x:c>
      <x:c r="C614" t="str">
        <x:v>referencia</x:v>
      </x:c>
      <x:c r="D614" t="str">
        <x:v>H13</x:v>
      </x:c>
      <x:c r="E614" t="n">
        <x:v>1</x:v>
      </x:c>
      <x:c r="F614" t="n">
        <x:v>1</x:v>
      </x:c>
      <x:c r="G614" t="n">
        <x:f>F614-E614</x:f>
        <x:v>0</x:v>
      </x:c>
      <x:c r="H614" s="2" t="n">
        <x:f>IFERROR(E614/F614,0)</x:f>
        <x:v>1</x:v>
      </x:c>
      <x:c r="I614" t="str">
        <x:v>Defasagem</x:v>
      </x:c>
      <x:c r="J614" t="str">
        <x:v>CAEd_DadosExportados (1).zip</x:v>
      </x:c>
    </x:row>
    <x:row r="615">
      <x:c r="A615" t="str">
        <x:v>2A010</x:v>
      </x:c>
      <x:c r="B615" t="str">
        <x:v>2º ano</x:v>
      </x:c>
      <x:c r="C615" t="str">
        <x:v>contraprova</x:v>
      </x:c>
      <x:c r="D615" t="str">
        <x:v>H01</x:v>
      </x:c>
      <x:c r="E615" t="n">
        <x:v>2</x:v>
      </x:c>
      <x:c r="F615" t="n">
        <x:v>2</x:v>
      </x:c>
      <x:c r="G615" t="n">
        <x:f>F615-E615</x:f>
        <x:v>0</x:v>
      </x:c>
      <x:c r="H615" s="2" t="n">
        <x:f>IFERROR(E615/F615,0)</x:f>
        <x:v>1</x:v>
      </x:c>
      <x:c r="I615" t="str">
        <x:v>Adequado</x:v>
      </x:c>
      <x:c r="J615" t="str">
        <x:v>CAEd_DadosExportados (2).zip</x:v>
      </x:c>
    </x:row>
    <x:row r="616">
      <x:c r="A616" t="str">
        <x:v>2A010</x:v>
      </x:c>
      <x:c r="B616" t="str">
        <x:v>2º ano</x:v>
      </x:c>
      <x:c r="C616" t="str">
        <x:v>contraprova</x:v>
      </x:c>
      <x:c r="D616" t="str">
        <x:v>H02</x:v>
      </x:c>
      <x:c r="E616" t="n">
        <x:v>2</x:v>
      </x:c>
      <x:c r="F616" t="n">
        <x:v>2</x:v>
      </x:c>
      <x:c r="G616" t="n">
        <x:f>F616-E616</x:f>
        <x:v>0</x:v>
      </x:c>
      <x:c r="H616" s="2" t="n">
        <x:f>IFERROR(E616/F616,0)</x:f>
        <x:v>1</x:v>
      </x:c>
      <x:c r="I616" t="str">
        <x:v>Adequado</x:v>
      </x:c>
      <x:c r="J616" t="str">
        <x:v>CAEd_DadosExportados (2).zip</x:v>
      </x:c>
    </x:row>
    <x:row r="617">
      <x:c r="A617" t="str">
        <x:v>2A010</x:v>
      </x:c>
      <x:c r="B617" t="str">
        <x:v>2º ano</x:v>
      </x:c>
      <x:c r="C617" t="str">
        <x:v>contraprova</x:v>
      </x:c>
      <x:c r="D617" t="str">
        <x:v>H03</x:v>
      </x:c>
      <x:c r="E617" t="n">
        <x:v>2</x:v>
      </x:c>
      <x:c r="F617" t="n">
        <x:v>2</x:v>
      </x:c>
      <x:c r="G617" t="n">
        <x:f>F617-E617</x:f>
        <x:v>0</x:v>
      </x:c>
      <x:c r="H617" s="2" t="n">
        <x:f>IFERROR(E617/F617,0)</x:f>
        <x:v>1</x:v>
      </x:c>
      <x:c r="I617" t="str">
        <x:v>Adequado</x:v>
      </x:c>
      <x:c r="J617" t="str">
        <x:v>CAEd_DadosExportados (2).zip</x:v>
      </x:c>
    </x:row>
    <x:row r="618">
      <x:c r="A618" t="str">
        <x:v>2A010</x:v>
      </x:c>
      <x:c r="B618" t="str">
        <x:v>2º ano</x:v>
      </x:c>
      <x:c r="C618" t="str">
        <x:v>contraprova</x:v>
      </x:c>
      <x:c r="D618" t="str">
        <x:v>H04</x:v>
      </x:c>
      <x:c r="E618" t="n">
        <x:v>2</x:v>
      </x:c>
      <x:c r="F618" t="n">
        <x:v>2</x:v>
      </x:c>
      <x:c r="G618" t="n">
        <x:f>F618-E618</x:f>
        <x:v>0</x:v>
      </x:c>
      <x:c r="H618" s="2" t="n">
        <x:f>IFERROR(E618/F618,0)</x:f>
        <x:v>1</x:v>
      </x:c>
      <x:c r="I618" t="str">
        <x:v>Adequado</x:v>
      </x:c>
      <x:c r="J618" t="str">
        <x:v>CAEd_DadosExportados (2).zip</x:v>
      </x:c>
    </x:row>
    <x:row r="619">
      <x:c r="A619" t="str">
        <x:v>2A010</x:v>
      </x:c>
      <x:c r="B619" t="str">
        <x:v>2º ano</x:v>
      </x:c>
      <x:c r="C619" t="str">
        <x:v>contraprova</x:v>
      </x:c>
      <x:c r="D619" t="str">
        <x:v>H05</x:v>
      </x:c>
      <x:c r="E619" t="n">
        <x:v>2</x:v>
      </x:c>
      <x:c r="F619" t="n">
        <x:v>2</x:v>
      </x:c>
      <x:c r="G619" t="n">
        <x:f>F619-E619</x:f>
        <x:v>0</x:v>
      </x:c>
      <x:c r="H619" s="2" t="n">
        <x:f>IFERROR(E619/F619,0)</x:f>
        <x:v>1</x:v>
      </x:c>
      <x:c r="I619" t="str">
        <x:v>Adequado</x:v>
      </x:c>
      <x:c r="J619" t="str">
        <x:v>CAEd_DadosExportados (2).zip</x:v>
      </x:c>
    </x:row>
    <x:row r="620">
      <x:c r="A620" t="str">
        <x:v>2A010</x:v>
      </x:c>
      <x:c r="B620" t="str">
        <x:v>2º ano</x:v>
      </x:c>
      <x:c r="C620" t="str">
        <x:v>contraprova</x:v>
      </x:c>
      <x:c r="D620" t="str">
        <x:v>H06</x:v>
      </x:c>
      <x:c r="E620" t="n">
        <x:v>2</x:v>
      </x:c>
      <x:c r="F620" t="n">
        <x:v>2</x:v>
      </x:c>
      <x:c r="G620" t="n">
        <x:f>F620-E620</x:f>
        <x:v>0</x:v>
      </x:c>
      <x:c r="H620" s="2" t="n">
        <x:f>IFERROR(E620/F620,0)</x:f>
        <x:v>1</x:v>
      </x:c>
      <x:c r="I620" t="str">
        <x:v>Adequado</x:v>
      </x:c>
      <x:c r="J620" t="str">
        <x:v>CAEd_DadosExportados (2).zip</x:v>
      </x:c>
    </x:row>
    <x:row r="621">
      <x:c r="A621" t="str">
        <x:v>2A010</x:v>
      </x:c>
      <x:c r="B621" t="str">
        <x:v>2º ano</x:v>
      </x:c>
      <x:c r="C621" t="str">
        <x:v>contraprova</x:v>
      </x:c>
      <x:c r="D621" t="str">
        <x:v>H07</x:v>
      </x:c>
      <x:c r="E621" t="n">
        <x:v>2</x:v>
      </x:c>
      <x:c r="F621" t="n">
        <x:v>2</x:v>
      </x:c>
      <x:c r="G621" t="n">
        <x:f>F621-E621</x:f>
        <x:v>0</x:v>
      </x:c>
      <x:c r="H621" s="2" t="n">
        <x:f>IFERROR(E621/F621,0)</x:f>
        <x:v>1</x:v>
      </x:c>
      <x:c r="I621" t="str">
        <x:v>Adequado</x:v>
      </x:c>
      <x:c r="J621" t="str">
        <x:v>CAEd_DadosExportados (2).zip</x:v>
      </x:c>
    </x:row>
    <x:row r="622">
      <x:c r="A622" t="str">
        <x:v>2A010</x:v>
      </x:c>
      <x:c r="B622" t="str">
        <x:v>2º ano</x:v>
      </x:c>
      <x:c r="C622" t="str">
        <x:v>contraprova</x:v>
      </x:c>
      <x:c r="D622" t="str">
        <x:v>H08</x:v>
      </x:c>
      <x:c r="E622" t="n">
        <x:v>2</x:v>
      </x:c>
      <x:c r="F622" t="n">
        <x:v>2</x:v>
      </x:c>
      <x:c r="G622" t="n">
        <x:f>F622-E622</x:f>
        <x:v>0</x:v>
      </x:c>
      <x:c r="H622" s="2" t="n">
        <x:f>IFERROR(E622/F622,0)</x:f>
        <x:v>1</x:v>
      </x:c>
      <x:c r="I622" t="str">
        <x:v>Adequado</x:v>
      </x:c>
      <x:c r="J622" t="str">
        <x:v>CAEd_DadosExportados (2).zip</x:v>
      </x:c>
    </x:row>
    <x:row r="623">
      <x:c r="A623" t="str">
        <x:v>2A010</x:v>
      </x:c>
      <x:c r="B623" t="str">
        <x:v>2º ano</x:v>
      </x:c>
      <x:c r="C623" t="str">
        <x:v>contraprova</x:v>
      </x:c>
      <x:c r="D623" t="str">
        <x:v>H09</x:v>
      </x:c>
      <x:c r="E623" t="n">
        <x:v>2</x:v>
      </x:c>
      <x:c r="F623" t="n">
        <x:v>2</x:v>
      </x:c>
      <x:c r="G623" t="n">
        <x:f>F623-E623</x:f>
        <x:v>0</x:v>
      </x:c>
      <x:c r="H623" s="2" t="n">
        <x:f>IFERROR(E623/F623,0)</x:f>
        <x:v>1</x:v>
      </x:c>
      <x:c r="I623" t="str">
        <x:v>Adequado</x:v>
      </x:c>
      <x:c r="J623" t="str">
        <x:v>CAEd_DadosExportados (2).zip</x:v>
      </x:c>
    </x:row>
    <x:row r="624">
      <x:c r="A624" t="str">
        <x:v>2A010</x:v>
      </x:c>
      <x:c r="B624" t="str">
        <x:v>2º ano</x:v>
      </x:c>
      <x:c r="C624" t="str">
        <x:v>contraprova</x:v>
      </x:c>
      <x:c r="D624" t="str">
        <x:v>H10</x:v>
      </x:c>
      <x:c r="E624" t="n">
        <x:v>2</x:v>
      </x:c>
      <x:c r="F624" t="n">
        <x:v>2</x:v>
      </x:c>
      <x:c r="G624" t="n">
        <x:f>F624-E624</x:f>
        <x:v>0</x:v>
      </x:c>
      <x:c r="H624" s="2" t="n">
        <x:f>IFERROR(E624/F624,0)</x:f>
        <x:v>1</x:v>
      </x:c>
      <x:c r="I624" t="str">
        <x:v>Adequado</x:v>
      </x:c>
      <x:c r="J624" t="str">
        <x:v>CAEd_DadosExportados (2).zip</x:v>
      </x:c>
    </x:row>
    <x:row r="625">
      <x:c r="A625" t="str">
        <x:v>2A010</x:v>
      </x:c>
      <x:c r="B625" t="str">
        <x:v>2º ano</x:v>
      </x:c>
      <x:c r="C625" t="str">
        <x:v>contraprova</x:v>
      </x:c>
      <x:c r="D625" t="str">
        <x:v>H11</x:v>
      </x:c>
      <x:c r="E625" t="n">
        <x:v>2</x:v>
      </x:c>
      <x:c r="F625" t="n">
        <x:v>2</x:v>
      </x:c>
      <x:c r="G625" t="n">
        <x:f>F625-E625</x:f>
        <x:v>0</x:v>
      </x:c>
      <x:c r="H625" s="2" t="n">
        <x:f>IFERROR(E625/F625,0)</x:f>
        <x:v>1</x:v>
      </x:c>
      <x:c r="I625" t="str">
        <x:v>Adequado</x:v>
      </x:c>
      <x:c r="J625" t="str">
        <x:v>CAEd_DadosExportados (2).zip</x:v>
      </x:c>
    </x:row>
    <x:row r="626">
      <x:c r="A626" t="str">
        <x:v>2A010</x:v>
      </x:c>
      <x:c r="B626" t="str">
        <x:v>2º ano</x:v>
      </x:c>
      <x:c r="C626" t="str">
        <x:v>referencia</x:v>
      </x:c>
      <x:c r="D626" t="str">
        <x:v>H01</x:v>
      </x:c>
      <x:c r="E626" t="n">
        <x:v>2</x:v>
      </x:c>
      <x:c r="F626" t="n">
        <x:v>2</x:v>
      </x:c>
      <x:c r="G626" t="n">
        <x:f>F626-E626</x:f>
        <x:v>0</x:v>
      </x:c>
      <x:c r="H626" s="2" t="n">
        <x:f>IFERROR(E626/F626,0)</x:f>
        <x:v>1</x:v>
      </x:c>
      <x:c r="I626" t="str">
        <x:v>Adequado</x:v>
      </x:c>
      <x:c r="J626" t="str">
        <x:v>CAEd_DadosExportados (1).zip</x:v>
      </x:c>
    </x:row>
    <x:row r="627">
      <x:c r="A627" t="str">
        <x:v>2A010</x:v>
      </x:c>
      <x:c r="B627" t="str">
        <x:v>2º ano</x:v>
      </x:c>
      <x:c r="C627" t="str">
        <x:v>referencia</x:v>
      </x:c>
      <x:c r="D627" t="str">
        <x:v>H02</x:v>
      </x:c>
      <x:c r="E627" t="n">
        <x:v>1</x:v>
      </x:c>
      <x:c r="F627" t="n">
        <x:v>2</x:v>
      </x:c>
      <x:c r="G627" t="n">
        <x:f>F627-E627</x:f>
        <x:v>1</x:v>
      </x:c>
      <x:c r="H627" s="2" t="n">
        <x:f>IFERROR(E627/F627,0)</x:f>
        <x:v>0.5</x:v>
      </x:c>
      <x:c r="I627" t="str">
        <x:v>Adequado</x:v>
      </x:c>
      <x:c r="J627" t="str">
        <x:v>CAEd_DadosExportados (1).zip</x:v>
      </x:c>
    </x:row>
    <x:row r="628">
      <x:c r="A628" t="str">
        <x:v>2A010</x:v>
      </x:c>
      <x:c r="B628" t="str">
        <x:v>2º ano</x:v>
      </x:c>
      <x:c r="C628" t="str">
        <x:v>referencia</x:v>
      </x:c>
      <x:c r="D628" t="str">
        <x:v>H03</x:v>
      </x:c>
      <x:c r="E628" t="n">
        <x:v>2</x:v>
      </x:c>
      <x:c r="F628" t="n">
        <x:v>2</x:v>
      </x:c>
      <x:c r="G628" t="n">
        <x:f>F628-E628</x:f>
        <x:v>0</x:v>
      </x:c>
      <x:c r="H628" s="2" t="n">
        <x:f>IFERROR(E628/F628,0)</x:f>
        <x:v>1</x:v>
      </x:c>
      <x:c r="I628" t="str">
        <x:v>Adequado</x:v>
      </x:c>
      <x:c r="J628" t="str">
        <x:v>CAEd_DadosExportados (1).zip</x:v>
      </x:c>
    </x:row>
    <x:row r="629">
      <x:c r="A629" t="str">
        <x:v>2A010</x:v>
      </x:c>
      <x:c r="B629" t="str">
        <x:v>2º ano</x:v>
      </x:c>
      <x:c r="C629" t="str">
        <x:v>referencia</x:v>
      </x:c>
      <x:c r="D629" t="str">
        <x:v>H04</x:v>
      </x:c>
      <x:c r="E629" t="n">
        <x:v>2</x:v>
      </x:c>
      <x:c r="F629" t="n">
        <x:v>2</x:v>
      </x:c>
      <x:c r="G629" t="n">
        <x:f>F629-E629</x:f>
        <x:v>0</x:v>
      </x:c>
      <x:c r="H629" s="2" t="n">
        <x:f>IFERROR(E629/F629,0)</x:f>
        <x:v>1</x:v>
      </x:c>
      <x:c r="I629" t="str">
        <x:v>Adequado</x:v>
      </x:c>
      <x:c r="J629" t="str">
        <x:v>CAEd_DadosExportados (1).zip</x:v>
      </x:c>
    </x:row>
    <x:row r="630">
      <x:c r="A630" t="str">
        <x:v>2A010</x:v>
      </x:c>
      <x:c r="B630" t="str">
        <x:v>2º ano</x:v>
      </x:c>
      <x:c r="C630" t="str">
        <x:v>referencia</x:v>
      </x:c>
      <x:c r="D630" t="str">
        <x:v>H05</x:v>
      </x:c>
      <x:c r="E630" t="n">
        <x:v>1</x:v>
      </x:c>
      <x:c r="F630" t="n">
        <x:v>1</x:v>
      </x:c>
      <x:c r="G630" t="n">
        <x:f>F630-E630</x:f>
        <x:v>0</x:v>
      </x:c>
      <x:c r="H630" s="2" t="n">
        <x:f>IFERROR(E630/F630,0)</x:f>
        <x:v>1</x:v>
      </x:c>
      <x:c r="I630" t="str">
        <x:v>Adequado</x:v>
      </x:c>
      <x:c r="J630" t="str">
        <x:v>CAEd_DadosExportados (1).zip</x:v>
      </x:c>
    </x:row>
    <x:row r="631">
      <x:c r="A631" t="str">
        <x:v>2A010</x:v>
      </x:c>
      <x:c r="B631" t="str">
        <x:v>2º ano</x:v>
      </x:c>
      <x:c r="C631" t="str">
        <x:v>referencia</x:v>
      </x:c>
      <x:c r="D631" t="str">
        <x:v>H06</x:v>
      </x:c>
      <x:c r="E631" t="n">
        <x:v>1</x:v>
      </x:c>
      <x:c r="F631" t="n">
        <x:v>2</x:v>
      </x:c>
      <x:c r="G631" t="n">
        <x:f>F631-E631</x:f>
        <x:v>1</x:v>
      </x:c>
      <x:c r="H631" s="2" t="n">
        <x:f>IFERROR(E631/F631,0)</x:f>
        <x:v>0.5</x:v>
      </x:c>
      <x:c r="I631" t="str">
        <x:v>Adequado</x:v>
      </x:c>
      <x:c r="J631" t="str">
        <x:v>CAEd_DadosExportados (1).zip</x:v>
      </x:c>
    </x:row>
    <x:row r="632">
      <x:c r="A632" t="str">
        <x:v>2A010</x:v>
      </x:c>
      <x:c r="B632" t="str">
        <x:v>2º ano</x:v>
      </x:c>
      <x:c r="C632" t="str">
        <x:v>referencia</x:v>
      </x:c>
      <x:c r="D632" t="str">
        <x:v>H07</x:v>
      </x:c>
      <x:c r="E632" t="n">
        <x:v>2</x:v>
      </x:c>
      <x:c r="F632" t="n">
        <x:v>2</x:v>
      </x:c>
      <x:c r="G632" t="n">
        <x:f>F632-E632</x:f>
        <x:v>0</x:v>
      </x:c>
      <x:c r="H632" s="2" t="n">
        <x:f>IFERROR(E632/F632,0)</x:f>
        <x:v>1</x:v>
      </x:c>
      <x:c r="I632" t="str">
        <x:v>Adequado</x:v>
      </x:c>
      <x:c r="J632" t="str">
        <x:v>CAEd_DadosExportados (1).zip</x:v>
      </x:c>
    </x:row>
    <x:row r="633">
      <x:c r="A633" t="str">
        <x:v>2A010</x:v>
      </x:c>
      <x:c r="B633" t="str">
        <x:v>2º ano</x:v>
      </x:c>
      <x:c r="C633" t="str">
        <x:v>referencia</x:v>
      </x:c>
      <x:c r="D633" t="str">
        <x:v>H08</x:v>
      </x:c>
      <x:c r="E633" t="n">
        <x:v>2</x:v>
      </x:c>
      <x:c r="F633" t="n">
        <x:v>2</x:v>
      </x:c>
      <x:c r="G633" t="n">
        <x:f>F633-E633</x:f>
        <x:v>0</x:v>
      </x:c>
      <x:c r="H633" s="2" t="n">
        <x:f>IFERROR(E633/F633,0)</x:f>
        <x:v>1</x:v>
      </x:c>
      <x:c r="I633" t="str">
        <x:v>Adequado</x:v>
      </x:c>
      <x:c r="J633" t="str">
        <x:v>CAEd_DadosExportados (1).zip</x:v>
      </x:c>
    </x:row>
    <x:row r="634">
      <x:c r="A634" t="str">
        <x:v>2A010</x:v>
      </x:c>
      <x:c r="B634" t="str">
        <x:v>2º ano</x:v>
      </x:c>
      <x:c r="C634" t="str">
        <x:v>referencia</x:v>
      </x:c>
      <x:c r="D634" t="str">
        <x:v>H09</x:v>
      </x:c>
      <x:c r="E634" t="n">
        <x:v>1</x:v>
      </x:c>
      <x:c r="F634" t="n">
        <x:v>2</x:v>
      </x:c>
      <x:c r="G634" t="n">
        <x:f>F634-E634</x:f>
        <x:v>1</x:v>
      </x:c>
      <x:c r="H634" s="2" t="n">
        <x:f>IFERROR(E634/F634,0)</x:f>
        <x:v>0.5</x:v>
      </x:c>
      <x:c r="I634" t="str">
        <x:v>Adequado</x:v>
      </x:c>
      <x:c r="J634" t="str">
        <x:v>CAEd_DadosExportados (1).zip</x:v>
      </x:c>
    </x:row>
    <x:row r="635">
      <x:c r="A635" t="str">
        <x:v>2A010</x:v>
      </x:c>
      <x:c r="B635" t="str">
        <x:v>2º ano</x:v>
      </x:c>
      <x:c r="C635" t="str">
        <x:v>referencia</x:v>
      </x:c>
      <x:c r="D635" t="str">
        <x:v>H10</x:v>
      </x:c>
      <x:c r="E635" t="n">
        <x:v>1</x:v>
      </x:c>
      <x:c r="F635" t="n">
        <x:v>1</x:v>
      </x:c>
      <x:c r="G635" t="n">
        <x:f>F635-E635</x:f>
        <x:v>0</x:v>
      </x:c>
      <x:c r="H635" s="2" t="n">
        <x:f>IFERROR(E635/F635,0)</x:f>
        <x:v>1</x:v>
      </x:c>
      <x:c r="I635" t="str">
        <x:v>Adequado</x:v>
      </x:c>
      <x:c r="J635" t="str">
        <x:v>CAEd_DadosExportados (1).zip</x:v>
      </x:c>
    </x:row>
    <x:row r="636">
      <x:c r="A636" t="str">
        <x:v>2A010</x:v>
      </x:c>
      <x:c r="B636" t="str">
        <x:v>2º ano</x:v>
      </x:c>
      <x:c r="C636" t="str">
        <x:v>referencia</x:v>
      </x:c>
      <x:c r="D636" t="str">
        <x:v>H11</x:v>
      </x:c>
      <x:c r="E636" t="n">
        <x:v>1</x:v>
      </x:c>
      <x:c r="F636" t="n">
        <x:v>2</x:v>
      </x:c>
      <x:c r="G636" t="n">
        <x:f>F636-E636</x:f>
        <x:v>1</x:v>
      </x:c>
      <x:c r="H636" s="2" t="n">
        <x:f>IFERROR(E636/F636,0)</x:f>
        <x:v>0.5</x:v>
      </x:c>
      <x:c r="I636" t="str">
        <x:v>Adequado</x:v>
      </x:c>
      <x:c r="J636" t="str">
        <x:v>CAEd_DadosExportados (1).zip</x:v>
      </x:c>
    </x:row>
    <x:row r="637">
      <x:c r="A637" t="str">
        <x:v>2A010</x:v>
      </x:c>
      <x:c r="B637" t="str">
        <x:v>2º ano</x:v>
      </x:c>
      <x:c r="C637" t="str">
        <x:v>referencia</x:v>
      </x:c>
      <x:c r="D637" t="str">
        <x:v>H12</x:v>
      </x:c>
      <x:c r="E637" t="n">
        <x:v>1</x:v>
      </x:c>
      <x:c r="F637" t="n">
        <x:v>1</x:v>
      </x:c>
      <x:c r="G637" t="n">
        <x:f>F637-E637</x:f>
        <x:v>0</x:v>
      </x:c>
      <x:c r="H637" s="2" t="n">
        <x:f>IFERROR(E637/F637,0)</x:f>
        <x:v>1</x:v>
      </x:c>
      <x:c r="I637" t="str">
        <x:v>Adequado</x:v>
      </x:c>
      <x:c r="J637" t="str">
        <x:v>CAEd_DadosExportados (1).zip</x:v>
      </x:c>
    </x:row>
    <x:row r="638">
      <x:c r="A638" t="str">
        <x:v>2A010</x:v>
      </x:c>
      <x:c r="B638" t="str">
        <x:v>2º ano</x:v>
      </x:c>
      <x:c r="C638" t="str">
        <x:v>referencia</x:v>
      </x:c>
      <x:c r="D638" t="str">
        <x:v>H13</x:v>
      </x:c>
      <x:c r="E638" t="n">
        <x:v>1</x:v>
      </x:c>
      <x:c r="F638" t="n">
        <x:v>1</x:v>
      </x:c>
      <x:c r="G638" t="n">
        <x:f>F638-E638</x:f>
        <x:v>0</x:v>
      </x:c>
      <x:c r="H638" s="2" t="n">
        <x:f>IFERROR(E638/F638,0)</x:f>
        <x:v>1</x:v>
      </x:c>
      <x:c r="I638" t="str">
        <x:v>Adequado</x:v>
      </x:c>
      <x:c r="J638" t="str">
        <x:v>CAEd_DadosExportados (1).zip</x:v>
      </x:c>
    </x:row>
    <x:row r="639">
      <x:c r="A639" t="str">
        <x:v>2A011</x:v>
      </x:c>
      <x:c r="B639" t="str">
        <x:v>2º ano</x:v>
      </x:c>
      <x:c r="C639" t="str">
        <x:v>contraprova</x:v>
      </x:c>
      <x:c r="D639" t="str">
        <x:v>H01</x:v>
      </x:c>
      <x:c r="E639" t="n">
        <x:v>1</x:v>
      </x:c>
      <x:c r="F639" t="n">
        <x:v>2</x:v>
      </x:c>
      <x:c r="G639" t="n">
        <x:f>F639-E639</x:f>
        <x:v>1</x:v>
      </x:c>
      <x:c r="H639" s="2" t="n">
        <x:f>IFERROR(E639/F639,0)</x:f>
        <x:v>0.5</x:v>
      </x:c>
      <x:c r="I639" t="str">
        <x:v>Adequado</x:v>
      </x:c>
      <x:c r="J639" t="str">
        <x:v>CAEd_DadosExportados (2).zip</x:v>
      </x:c>
    </x:row>
    <x:row r="640">
      <x:c r="A640" t="str">
        <x:v>2A011</x:v>
      </x:c>
      <x:c r="B640" t="str">
        <x:v>2º ano</x:v>
      </x:c>
      <x:c r="C640" t="str">
        <x:v>contraprova</x:v>
      </x:c>
      <x:c r="D640" t="str">
        <x:v>H02</x:v>
      </x:c>
      <x:c r="E640" t="n">
        <x:v>2</x:v>
      </x:c>
      <x:c r="F640" t="n">
        <x:v>2</x:v>
      </x:c>
      <x:c r="G640" t="n">
        <x:f>F640-E640</x:f>
        <x:v>0</x:v>
      </x:c>
      <x:c r="H640" s="2" t="n">
        <x:f>IFERROR(E640/F640,0)</x:f>
        <x:v>1</x:v>
      </x:c>
      <x:c r="I640" t="str">
        <x:v>Adequado</x:v>
      </x:c>
      <x:c r="J640" t="str">
        <x:v>CAEd_DadosExportados (2).zip</x:v>
      </x:c>
    </x:row>
    <x:row r="641">
      <x:c r="A641" t="str">
        <x:v>2A011</x:v>
      </x:c>
      <x:c r="B641" t="str">
        <x:v>2º ano</x:v>
      </x:c>
      <x:c r="C641" t="str">
        <x:v>contraprova</x:v>
      </x:c>
      <x:c r="D641" t="str">
        <x:v>H03</x:v>
      </x:c>
      <x:c r="E641" t="n">
        <x:v>2</x:v>
      </x:c>
      <x:c r="F641" t="n">
        <x:v>2</x:v>
      </x:c>
      <x:c r="G641" t="n">
        <x:f>F641-E641</x:f>
        <x:v>0</x:v>
      </x:c>
      <x:c r="H641" s="2" t="n">
        <x:f>IFERROR(E641/F641,0)</x:f>
        <x:v>1</x:v>
      </x:c>
      <x:c r="I641" t="str">
        <x:v>Adequado</x:v>
      </x:c>
      <x:c r="J641" t="str">
        <x:v>CAEd_DadosExportados (2).zip</x:v>
      </x:c>
    </x:row>
    <x:row r="642">
      <x:c r="A642" t="str">
        <x:v>2A011</x:v>
      </x:c>
      <x:c r="B642" t="str">
        <x:v>2º ano</x:v>
      </x:c>
      <x:c r="C642" t="str">
        <x:v>contraprova</x:v>
      </x:c>
      <x:c r="D642" t="str">
        <x:v>H04</x:v>
      </x:c>
      <x:c r="E642" t="n">
        <x:v>2</x:v>
      </x:c>
      <x:c r="F642" t="n">
        <x:v>2</x:v>
      </x:c>
      <x:c r="G642" t="n">
        <x:f>F642-E642</x:f>
        <x:v>0</x:v>
      </x:c>
      <x:c r="H642" s="2" t="n">
        <x:f>IFERROR(E642/F642,0)</x:f>
        <x:v>1</x:v>
      </x:c>
      <x:c r="I642" t="str">
        <x:v>Adequado</x:v>
      </x:c>
      <x:c r="J642" t="str">
        <x:v>CAEd_DadosExportados (2).zip</x:v>
      </x:c>
    </x:row>
    <x:row r="643">
      <x:c r="A643" t="str">
        <x:v>2A011</x:v>
      </x:c>
      <x:c r="B643" t="str">
        <x:v>2º ano</x:v>
      </x:c>
      <x:c r="C643" t="str">
        <x:v>contraprova</x:v>
      </x:c>
      <x:c r="D643" t="str">
        <x:v>H05</x:v>
      </x:c>
      <x:c r="E643" t="n">
        <x:v>2</x:v>
      </x:c>
      <x:c r="F643" t="n">
        <x:v>2</x:v>
      </x:c>
      <x:c r="G643" t="n">
        <x:f>F643-E643</x:f>
        <x:v>0</x:v>
      </x:c>
      <x:c r="H643" s="2" t="n">
        <x:f>IFERROR(E643/F643,0)</x:f>
        <x:v>1</x:v>
      </x:c>
      <x:c r="I643" t="str">
        <x:v>Adequado</x:v>
      </x:c>
      <x:c r="J643" t="str">
        <x:v>CAEd_DadosExportados (2).zip</x:v>
      </x:c>
    </x:row>
    <x:row r="644">
      <x:c r="A644" t="str">
        <x:v>2A011</x:v>
      </x:c>
      <x:c r="B644" t="str">
        <x:v>2º ano</x:v>
      </x:c>
      <x:c r="C644" t="str">
        <x:v>contraprova</x:v>
      </x:c>
      <x:c r="D644" t="str">
        <x:v>H06</x:v>
      </x:c>
      <x:c r="E644" t="n">
        <x:v>2</x:v>
      </x:c>
      <x:c r="F644" t="n">
        <x:v>2</x:v>
      </x:c>
      <x:c r="G644" t="n">
        <x:f>F644-E644</x:f>
        <x:v>0</x:v>
      </x:c>
      <x:c r="H644" s="2" t="n">
        <x:f>IFERROR(E644/F644,0)</x:f>
        <x:v>1</x:v>
      </x:c>
      <x:c r="I644" t="str">
        <x:v>Adequado</x:v>
      </x:c>
      <x:c r="J644" t="str">
        <x:v>CAEd_DadosExportados (2).zip</x:v>
      </x:c>
    </x:row>
    <x:row r="645">
      <x:c r="A645" t="str">
        <x:v>2A011</x:v>
      </x:c>
      <x:c r="B645" t="str">
        <x:v>2º ano</x:v>
      </x:c>
      <x:c r="C645" t="str">
        <x:v>contraprova</x:v>
      </x:c>
      <x:c r="D645" t="str">
        <x:v>H07</x:v>
      </x:c>
      <x:c r="E645" t="n">
        <x:v>1</x:v>
      </x:c>
      <x:c r="F645" t="n">
        <x:v>2</x:v>
      </x:c>
      <x:c r="G645" t="n">
        <x:f>F645-E645</x:f>
        <x:v>1</x:v>
      </x:c>
      <x:c r="H645" s="2" t="n">
        <x:f>IFERROR(E645/F645,0)</x:f>
        <x:v>0.5</x:v>
      </x:c>
      <x:c r="I645" t="str">
        <x:v>Adequado</x:v>
      </x:c>
      <x:c r="J645" t="str">
        <x:v>CAEd_DadosExportados (2).zip</x:v>
      </x:c>
    </x:row>
    <x:row r="646">
      <x:c r="A646" t="str">
        <x:v>2A011</x:v>
      </x:c>
      <x:c r="B646" t="str">
        <x:v>2º ano</x:v>
      </x:c>
      <x:c r="C646" t="str">
        <x:v>contraprova</x:v>
      </x:c>
      <x:c r="D646" t="str">
        <x:v>H08</x:v>
      </x:c>
      <x:c r="E646" t="n">
        <x:v>1</x:v>
      </x:c>
      <x:c r="F646" t="n">
        <x:v>2</x:v>
      </x:c>
      <x:c r="G646" t="n">
        <x:f>F646-E646</x:f>
        <x:v>1</x:v>
      </x:c>
      <x:c r="H646" s="2" t="n">
        <x:f>IFERROR(E646/F646,0)</x:f>
        <x:v>0.5</x:v>
      </x:c>
      <x:c r="I646" t="str">
        <x:v>Adequado</x:v>
      </x:c>
      <x:c r="J646" t="str">
        <x:v>CAEd_DadosExportados (2).zip</x:v>
      </x:c>
    </x:row>
    <x:row r="647">
      <x:c r="A647" t="str">
        <x:v>2A011</x:v>
      </x:c>
      <x:c r="B647" t="str">
        <x:v>2º ano</x:v>
      </x:c>
      <x:c r="C647" t="str">
        <x:v>contraprova</x:v>
      </x:c>
      <x:c r="D647" t="str">
        <x:v>H09</x:v>
      </x:c>
      <x:c r="E647" t="n">
        <x:v>2</x:v>
      </x:c>
      <x:c r="F647" t="n">
        <x:v>2</x:v>
      </x:c>
      <x:c r="G647" t="n">
        <x:f>F647-E647</x:f>
        <x:v>0</x:v>
      </x:c>
      <x:c r="H647" s="2" t="n">
        <x:f>IFERROR(E647/F647,0)</x:f>
        <x:v>1</x:v>
      </x:c>
      <x:c r="I647" t="str">
        <x:v>Adequado</x:v>
      </x:c>
      <x:c r="J647" t="str">
        <x:v>CAEd_DadosExportados (2).zip</x:v>
      </x:c>
    </x:row>
    <x:row r="648">
      <x:c r="A648" t="str">
        <x:v>2A011</x:v>
      </x:c>
      <x:c r="B648" t="str">
        <x:v>2º ano</x:v>
      </x:c>
      <x:c r="C648" t="str">
        <x:v>contraprova</x:v>
      </x:c>
      <x:c r="D648" t="str">
        <x:v>H10</x:v>
      </x:c>
      <x:c r="E648" t="n">
        <x:v>2</x:v>
      </x:c>
      <x:c r="F648" t="n">
        <x:v>2</x:v>
      </x:c>
      <x:c r="G648" t="n">
        <x:f>F648-E648</x:f>
        <x:v>0</x:v>
      </x:c>
      <x:c r="H648" s="2" t="n">
        <x:f>IFERROR(E648/F648,0)</x:f>
        <x:v>1</x:v>
      </x:c>
      <x:c r="I648" t="str">
        <x:v>Adequado</x:v>
      </x:c>
      <x:c r="J648" t="str">
        <x:v>CAEd_DadosExportados (2).zip</x:v>
      </x:c>
    </x:row>
    <x:row r="649">
      <x:c r="A649" t="str">
        <x:v>2A011</x:v>
      </x:c>
      <x:c r="B649" t="str">
        <x:v>2º ano</x:v>
      </x:c>
      <x:c r="C649" t="str">
        <x:v>contraprova</x:v>
      </x:c>
      <x:c r="D649" t="str">
        <x:v>H11</x:v>
      </x:c>
      <x:c r="E649" t="n">
        <x:v>2</x:v>
      </x:c>
      <x:c r="F649" t="n">
        <x:v>2</x:v>
      </x:c>
      <x:c r="G649" t="n">
        <x:f>F649-E649</x:f>
        <x:v>0</x:v>
      </x:c>
      <x:c r="H649" s="2" t="n">
        <x:f>IFERROR(E649/F649,0)</x:f>
        <x:v>1</x:v>
      </x:c>
      <x:c r="I649" t="str">
        <x:v>Adequado</x:v>
      </x:c>
      <x:c r="J649" t="str">
        <x:v>CAEd_DadosExportados (2).zip</x:v>
      </x:c>
    </x:row>
    <x:row r="650">
      <x:c r="A650" t="str">
        <x:v>2A011</x:v>
      </x:c>
      <x:c r="B650" t="str">
        <x:v>2º ano</x:v>
      </x:c>
      <x:c r="C650" t="str">
        <x:v>referencia</x:v>
      </x:c>
      <x:c r="D650" t="str">
        <x:v>H01</x:v>
      </x:c>
      <x:c r="E650" t="n">
        <x:v>0</x:v>
      </x:c>
      <x:c r="F650" t="n">
        <x:v>2</x:v>
      </x:c>
      <x:c r="G650" t="n">
        <x:f>F650-E650</x:f>
        <x:v>2</x:v>
      </x:c>
      <x:c r="H650" s="2" t="n">
        <x:f>IFERROR(E650/F650,0)</x:f>
        <x:v>0</x:v>
      </x:c>
      <x:c r="I650" t="str">
        <x:v>Adequado</x:v>
      </x:c>
      <x:c r="J650" t="str">
        <x:v>CAEd_DadosExportados (1).zip</x:v>
      </x:c>
    </x:row>
    <x:row r="651">
      <x:c r="A651" t="str">
        <x:v>2A011</x:v>
      </x:c>
      <x:c r="B651" t="str">
        <x:v>2º ano</x:v>
      </x:c>
      <x:c r="C651" t="str">
        <x:v>referencia</x:v>
      </x:c>
      <x:c r="D651" t="str">
        <x:v>H02</x:v>
      </x:c>
      <x:c r="E651" t="n">
        <x:v>2</x:v>
      </x:c>
      <x:c r="F651" t="n">
        <x:v>2</x:v>
      </x:c>
      <x:c r="G651" t="n">
        <x:f>F651-E651</x:f>
        <x:v>0</x:v>
      </x:c>
      <x:c r="H651" s="2" t="n">
        <x:f>IFERROR(E651/F651,0)</x:f>
        <x:v>1</x:v>
      </x:c>
      <x:c r="I651" t="str">
        <x:v>Adequado</x:v>
      </x:c>
      <x:c r="J651" t="str">
        <x:v>CAEd_DadosExportados (1).zip</x:v>
      </x:c>
    </x:row>
    <x:row r="652">
      <x:c r="A652" t="str">
        <x:v>2A011</x:v>
      </x:c>
      <x:c r="B652" t="str">
        <x:v>2º ano</x:v>
      </x:c>
      <x:c r="C652" t="str">
        <x:v>referencia</x:v>
      </x:c>
      <x:c r="D652" t="str">
        <x:v>H03</x:v>
      </x:c>
      <x:c r="E652" t="n">
        <x:v>2</x:v>
      </x:c>
      <x:c r="F652" t="n">
        <x:v>2</x:v>
      </x:c>
      <x:c r="G652" t="n">
        <x:f>F652-E652</x:f>
        <x:v>0</x:v>
      </x:c>
      <x:c r="H652" s="2" t="n">
        <x:f>IFERROR(E652/F652,0)</x:f>
        <x:v>1</x:v>
      </x:c>
      <x:c r="I652" t="str">
        <x:v>Adequado</x:v>
      </x:c>
      <x:c r="J652" t="str">
        <x:v>CAEd_DadosExportados (1).zip</x:v>
      </x:c>
    </x:row>
    <x:row r="653">
      <x:c r="A653" t="str">
        <x:v>2A011</x:v>
      </x:c>
      <x:c r="B653" t="str">
        <x:v>2º ano</x:v>
      </x:c>
      <x:c r="C653" t="str">
        <x:v>referencia</x:v>
      </x:c>
      <x:c r="D653" t="str">
        <x:v>H04</x:v>
      </x:c>
      <x:c r="E653" t="n">
        <x:v>2</x:v>
      </x:c>
      <x:c r="F653" t="n">
        <x:v>2</x:v>
      </x:c>
      <x:c r="G653" t="n">
        <x:f>F653-E653</x:f>
        <x:v>0</x:v>
      </x:c>
      <x:c r="H653" s="2" t="n">
        <x:f>IFERROR(E653/F653,0)</x:f>
        <x:v>1</x:v>
      </x:c>
      <x:c r="I653" t="str">
        <x:v>Adequado</x:v>
      </x:c>
      <x:c r="J653" t="str">
        <x:v>CAEd_DadosExportados (1).zip</x:v>
      </x:c>
    </x:row>
    <x:row r="654">
      <x:c r="A654" t="str">
        <x:v>2A011</x:v>
      </x:c>
      <x:c r="B654" t="str">
        <x:v>2º ano</x:v>
      </x:c>
      <x:c r="C654" t="str">
        <x:v>referencia</x:v>
      </x:c>
      <x:c r="D654" t="str">
        <x:v>H05</x:v>
      </x:c>
      <x:c r="E654" t="n">
        <x:v>1</x:v>
      </x:c>
      <x:c r="F654" t="n">
        <x:v>1</x:v>
      </x:c>
      <x:c r="G654" t="n">
        <x:f>F654-E654</x:f>
        <x:v>0</x:v>
      </x:c>
      <x:c r="H654" s="2" t="n">
        <x:f>IFERROR(E654/F654,0)</x:f>
        <x:v>1</x:v>
      </x:c>
      <x:c r="I654" t="str">
        <x:v>Adequado</x:v>
      </x:c>
      <x:c r="J654" t="str">
        <x:v>CAEd_DadosExportados (1).zip</x:v>
      </x:c>
    </x:row>
    <x:row r="655">
      <x:c r="A655" t="str">
        <x:v>2A011</x:v>
      </x:c>
      <x:c r="B655" t="str">
        <x:v>2º ano</x:v>
      </x:c>
      <x:c r="C655" t="str">
        <x:v>referencia</x:v>
      </x:c>
      <x:c r="D655" t="str">
        <x:v>H06</x:v>
      </x:c>
      <x:c r="E655" t="n">
        <x:v>2</x:v>
      </x:c>
      <x:c r="F655" t="n">
        <x:v>2</x:v>
      </x:c>
      <x:c r="G655" t="n">
        <x:f>F655-E655</x:f>
        <x:v>0</x:v>
      </x:c>
      <x:c r="H655" s="2" t="n">
        <x:f>IFERROR(E655/F655,0)</x:f>
        <x:v>1</x:v>
      </x:c>
      <x:c r="I655" t="str">
        <x:v>Adequado</x:v>
      </x:c>
      <x:c r="J655" t="str">
        <x:v>CAEd_DadosExportados (1).zip</x:v>
      </x:c>
    </x:row>
    <x:row r="656">
      <x:c r="A656" t="str">
        <x:v>2A011</x:v>
      </x:c>
      <x:c r="B656" t="str">
        <x:v>2º ano</x:v>
      </x:c>
      <x:c r="C656" t="str">
        <x:v>referencia</x:v>
      </x:c>
      <x:c r="D656" t="str">
        <x:v>H07</x:v>
      </x:c>
      <x:c r="E656" t="n">
        <x:v>2</x:v>
      </x:c>
      <x:c r="F656" t="n">
        <x:v>2</x:v>
      </x:c>
      <x:c r="G656" t="n">
        <x:f>F656-E656</x:f>
        <x:v>0</x:v>
      </x:c>
      <x:c r="H656" s="2" t="n">
        <x:f>IFERROR(E656/F656,0)</x:f>
        <x:v>1</x:v>
      </x:c>
      <x:c r="I656" t="str">
        <x:v>Adequado</x:v>
      </x:c>
      <x:c r="J656" t="str">
        <x:v>CAEd_DadosExportados (1).zip</x:v>
      </x:c>
    </x:row>
    <x:row r="657">
      <x:c r="A657" t="str">
        <x:v>2A011</x:v>
      </x:c>
      <x:c r="B657" t="str">
        <x:v>2º ano</x:v>
      </x:c>
      <x:c r="C657" t="str">
        <x:v>referencia</x:v>
      </x:c>
      <x:c r="D657" t="str">
        <x:v>H08</x:v>
      </x:c>
      <x:c r="E657" t="n">
        <x:v>1</x:v>
      </x:c>
      <x:c r="F657" t="n">
        <x:v>2</x:v>
      </x:c>
      <x:c r="G657" t="n">
        <x:f>F657-E657</x:f>
        <x:v>1</x:v>
      </x:c>
      <x:c r="H657" s="2" t="n">
        <x:f>IFERROR(E657/F657,0)</x:f>
        <x:v>0.5</x:v>
      </x:c>
      <x:c r="I657" t="str">
        <x:v>Adequado</x:v>
      </x:c>
      <x:c r="J657" t="str">
        <x:v>CAEd_DadosExportados (1).zip</x:v>
      </x:c>
    </x:row>
    <x:row r="658">
      <x:c r="A658" t="str">
        <x:v>2A011</x:v>
      </x:c>
      <x:c r="B658" t="str">
        <x:v>2º ano</x:v>
      </x:c>
      <x:c r="C658" t="str">
        <x:v>referencia</x:v>
      </x:c>
      <x:c r="D658" t="str">
        <x:v>H09</x:v>
      </x:c>
      <x:c r="E658" t="n">
        <x:v>2</x:v>
      </x:c>
      <x:c r="F658" t="n">
        <x:v>2</x:v>
      </x:c>
      <x:c r="G658" t="n">
        <x:f>F658-E658</x:f>
        <x:v>0</x:v>
      </x:c>
      <x:c r="H658" s="2" t="n">
        <x:f>IFERROR(E658/F658,0)</x:f>
        <x:v>1</x:v>
      </x:c>
      <x:c r="I658" t="str">
        <x:v>Adequado</x:v>
      </x:c>
      <x:c r="J658" t="str">
        <x:v>CAEd_DadosExportados (1).zip</x:v>
      </x:c>
    </x:row>
    <x:row r="659">
      <x:c r="A659" t="str">
        <x:v>2A011</x:v>
      </x:c>
      <x:c r="B659" t="str">
        <x:v>2º ano</x:v>
      </x:c>
      <x:c r="C659" t="str">
        <x:v>referencia</x:v>
      </x:c>
      <x:c r="D659" t="str">
        <x:v>H10</x:v>
      </x:c>
      <x:c r="E659" t="n">
        <x:v>1</x:v>
      </x:c>
      <x:c r="F659" t="n">
        <x:v>1</x:v>
      </x:c>
      <x:c r="G659" t="n">
        <x:f>F659-E659</x:f>
        <x:v>0</x:v>
      </x:c>
      <x:c r="H659" s="2" t="n">
        <x:f>IFERROR(E659/F659,0)</x:f>
        <x:v>1</x:v>
      </x:c>
      <x:c r="I659" t="str">
        <x:v>Adequado</x:v>
      </x:c>
      <x:c r="J659" t="str">
        <x:v>CAEd_DadosExportados (1).zip</x:v>
      </x:c>
    </x:row>
    <x:row r="660">
      <x:c r="A660" t="str">
        <x:v>2A011</x:v>
      </x:c>
      <x:c r="B660" t="str">
        <x:v>2º ano</x:v>
      </x:c>
      <x:c r="C660" t="str">
        <x:v>referencia</x:v>
      </x:c>
      <x:c r="D660" t="str">
        <x:v>H11</x:v>
      </x:c>
      <x:c r="E660" t="n">
        <x:v>1</x:v>
      </x:c>
      <x:c r="F660" t="n">
        <x:v>2</x:v>
      </x:c>
      <x:c r="G660" t="n">
        <x:f>F660-E660</x:f>
        <x:v>1</x:v>
      </x:c>
      <x:c r="H660" s="2" t="n">
        <x:f>IFERROR(E660/F660,0)</x:f>
        <x:v>0.5</x:v>
      </x:c>
      <x:c r="I660" t="str">
        <x:v>Adequado</x:v>
      </x:c>
      <x:c r="J660" t="str">
        <x:v>CAEd_DadosExportados (1).zip</x:v>
      </x:c>
    </x:row>
    <x:row r="661">
      <x:c r="A661" t="str">
        <x:v>2A011</x:v>
      </x:c>
      <x:c r="B661" t="str">
        <x:v>2º ano</x:v>
      </x:c>
      <x:c r="C661" t="str">
        <x:v>referencia</x:v>
      </x:c>
      <x:c r="D661" t="str">
        <x:v>H12</x:v>
      </x:c>
      <x:c r="E661" t="n">
        <x:v>0</x:v>
      </x:c>
      <x:c r="F661" t="n">
        <x:v>1</x:v>
      </x:c>
      <x:c r="G661" t="n">
        <x:f>F661-E661</x:f>
        <x:v>1</x:v>
      </x:c>
      <x:c r="H661" s="2" t="n">
        <x:f>IFERROR(E661/F661,0)</x:f>
        <x:v>0</x:v>
      </x:c>
      <x:c r="I661" t="str">
        <x:v>Adequado</x:v>
      </x:c>
      <x:c r="J661" t="str">
        <x:v>CAEd_DadosExportados (1).zip</x:v>
      </x:c>
    </x:row>
    <x:row r="662">
      <x:c r="A662" t="str">
        <x:v>2A011</x:v>
      </x:c>
      <x:c r="B662" t="str">
        <x:v>2º ano</x:v>
      </x:c>
      <x:c r="C662" t="str">
        <x:v>referencia</x:v>
      </x:c>
      <x:c r="D662" t="str">
        <x:v>H13</x:v>
      </x:c>
      <x:c r="E662" t="n">
        <x:v>0</x:v>
      </x:c>
      <x:c r="F662" t="n">
        <x:v>1</x:v>
      </x:c>
      <x:c r="G662" t="n">
        <x:f>F662-E662</x:f>
        <x:v>1</x:v>
      </x:c>
      <x:c r="H662" s="2" t="n">
        <x:f>IFERROR(E662/F662,0)</x:f>
        <x:v>0</x:v>
      </x:c>
      <x:c r="I662" t="str">
        <x:v>Adequado</x:v>
      </x:c>
      <x:c r="J662" t="str">
        <x:v>CAEd_DadosExportados (1).zip</x:v>
      </x:c>
    </x:row>
    <x:row r="663">
      <x:c r="A663" t="str">
        <x:v>2A012</x:v>
      </x:c>
      <x:c r="B663" t="str">
        <x:v>2º ano</x:v>
      </x:c>
      <x:c r="C663" t="str">
        <x:v>contraprova</x:v>
      </x:c>
      <x:c r="D663" t="str">
        <x:v>H01</x:v>
      </x:c>
      <x:c r="E663" t="n">
        <x:v>0</x:v>
      </x:c>
      <x:c r="F663" t="n">
        <x:v>2</x:v>
      </x:c>
      <x:c r="G663" t="n">
        <x:f>F663-E663</x:f>
        <x:v>2</x:v>
      </x:c>
      <x:c r="H663" s="2" t="n">
        <x:f>IFERROR(E663/F663,0)</x:f>
        <x:v>0</x:v>
      </x:c>
      <x:c r="I663" t="str">
        <x:v>Adequado</x:v>
      </x:c>
      <x:c r="J663" t="str">
        <x:v>CAEd_DadosExportados (2).zip</x:v>
      </x:c>
    </x:row>
    <x:row r="664">
      <x:c r="A664" t="str">
        <x:v>2A012</x:v>
      </x:c>
      <x:c r="B664" t="str">
        <x:v>2º ano</x:v>
      </x:c>
      <x:c r="C664" t="str">
        <x:v>contraprova</x:v>
      </x:c>
      <x:c r="D664" t="str">
        <x:v>H02</x:v>
      </x:c>
      <x:c r="E664" t="n">
        <x:v>2</x:v>
      </x:c>
      <x:c r="F664" t="n">
        <x:v>2</x:v>
      </x:c>
      <x:c r="G664" t="n">
        <x:f>F664-E664</x:f>
        <x:v>0</x:v>
      </x:c>
      <x:c r="H664" s="2" t="n">
        <x:f>IFERROR(E664/F664,0)</x:f>
        <x:v>1</x:v>
      </x:c>
      <x:c r="I664" t="str">
        <x:v>Adequado</x:v>
      </x:c>
      <x:c r="J664" t="str">
        <x:v>CAEd_DadosExportados (2).zip</x:v>
      </x:c>
    </x:row>
    <x:row r="665">
      <x:c r="A665" t="str">
        <x:v>2A012</x:v>
      </x:c>
      <x:c r="B665" t="str">
        <x:v>2º ano</x:v>
      </x:c>
      <x:c r="C665" t="str">
        <x:v>contraprova</x:v>
      </x:c>
      <x:c r="D665" t="str">
        <x:v>H03</x:v>
      </x:c>
      <x:c r="E665" t="n">
        <x:v>2</x:v>
      </x:c>
      <x:c r="F665" t="n">
        <x:v>2</x:v>
      </x:c>
      <x:c r="G665" t="n">
        <x:f>F665-E665</x:f>
        <x:v>0</x:v>
      </x:c>
      <x:c r="H665" s="2" t="n">
        <x:f>IFERROR(E665/F665,0)</x:f>
        <x:v>1</x:v>
      </x:c>
      <x:c r="I665" t="str">
        <x:v>Adequado</x:v>
      </x:c>
      <x:c r="J665" t="str">
        <x:v>CAEd_DadosExportados (2).zip</x:v>
      </x:c>
    </x:row>
    <x:row r="666">
      <x:c r="A666" t="str">
        <x:v>2A012</x:v>
      </x:c>
      <x:c r="B666" t="str">
        <x:v>2º ano</x:v>
      </x:c>
      <x:c r="C666" t="str">
        <x:v>contraprova</x:v>
      </x:c>
      <x:c r="D666" t="str">
        <x:v>H04</x:v>
      </x:c>
      <x:c r="E666" t="n">
        <x:v>2</x:v>
      </x:c>
      <x:c r="F666" t="n">
        <x:v>2</x:v>
      </x:c>
      <x:c r="G666" t="n">
        <x:f>F666-E666</x:f>
        <x:v>0</x:v>
      </x:c>
      <x:c r="H666" s="2" t="n">
        <x:f>IFERROR(E666/F666,0)</x:f>
        <x:v>1</x:v>
      </x:c>
      <x:c r="I666" t="str">
        <x:v>Adequado</x:v>
      </x:c>
      <x:c r="J666" t="str">
        <x:v>CAEd_DadosExportados (2).zip</x:v>
      </x:c>
    </x:row>
    <x:row r="667">
      <x:c r="A667" t="str">
        <x:v>2A012</x:v>
      </x:c>
      <x:c r="B667" t="str">
        <x:v>2º ano</x:v>
      </x:c>
      <x:c r="C667" t="str">
        <x:v>contraprova</x:v>
      </x:c>
      <x:c r="D667" t="str">
        <x:v>H05</x:v>
      </x:c>
      <x:c r="E667" t="n">
        <x:v>1</x:v>
      </x:c>
      <x:c r="F667" t="n">
        <x:v>2</x:v>
      </x:c>
      <x:c r="G667" t="n">
        <x:f>F667-E667</x:f>
        <x:v>1</x:v>
      </x:c>
      <x:c r="H667" s="2" t="n">
        <x:f>IFERROR(E667/F667,0)</x:f>
        <x:v>0.5</x:v>
      </x:c>
      <x:c r="I667" t="str">
        <x:v>Adequado</x:v>
      </x:c>
      <x:c r="J667" t="str">
        <x:v>CAEd_DadosExportados (2).zip</x:v>
      </x:c>
    </x:row>
    <x:row r="668">
      <x:c r="A668" t="str">
        <x:v>2A012</x:v>
      </x:c>
      <x:c r="B668" t="str">
        <x:v>2º ano</x:v>
      </x:c>
      <x:c r="C668" t="str">
        <x:v>contraprova</x:v>
      </x:c>
      <x:c r="D668" t="str">
        <x:v>H06</x:v>
      </x:c>
      <x:c r="E668" t="n">
        <x:v>2</x:v>
      </x:c>
      <x:c r="F668" t="n">
        <x:v>2</x:v>
      </x:c>
      <x:c r="G668" t="n">
        <x:f>F668-E668</x:f>
        <x:v>0</x:v>
      </x:c>
      <x:c r="H668" s="2" t="n">
        <x:f>IFERROR(E668/F668,0)</x:f>
        <x:v>1</x:v>
      </x:c>
      <x:c r="I668" t="str">
        <x:v>Adequado</x:v>
      </x:c>
      <x:c r="J668" t="str">
        <x:v>CAEd_DadosExportados (2).zip</x:v>
      </x:c>
    </x:row>
    <x:row r="669">
      <x:c r="A669" t="str">
        <x:v>2A012</x:v>
      </x:c>
      <x:c r="B669" t="str">
        <x:v>2º ano</x:v>
      </x:c>
      <x:c r="C669" t="str">
        <x:v>contraprova</x:v>
      </x:c>
      <x:c r="D669" t="str">
        <x:v>H07</x:v>
      </x:c>
      <x:c r="E669" t="n">
        <x:v>2</x:v>
      </x:c>
      <x:c r="F669" t="n">
        <x:v>2</x:v>
      </x:c>
      <x:c r="G669" t="n">
        <x:f>F669-E669</x:f>
        <x:v>0</x:v>
      </x:c>
      <x:c r="H669" s="2" t="n">
        <x:f>IFERROR(E669/F669,0)</x:f>
        <x:v>1</x:v>
      </x:c>
      <x:c r="I669" t="str">
        <x:v>Adequado</x:v>
      </x:c>
      <x:c r="J669" t="str">
        <x:v>CAEd_DadosExportados (2).zip</x:v>
      </x:c>
    </x:row>
    <x:row r="670">
      <x:c r="A670" t="str">
        <x:v>2A012</x:v>
      </x:c>
      <x:c r="B670" t="str">
        <x:v>2º ano</x:v>
      </x:c>
      <x:c r="C670" t="str">
        <x:v>contraprova</x:v>
      </x:c>
      <x:c r="D670" t="str">
        <x:v>H08</x:v>
      </x:c>
      <x:c r="E670" t="n">
        <x:v>2</x:v>
      </x:c>
      <x:c r="F670" t="n">
        <x:v>2</x:v>
      </x:c>
      <x:c r="G670" t="n">
        <x:f>F670-E670</x:f>
        <x:v>0</x:v>
      </x:c>
      <x:c r="H670" s="2" t="n">
        <x:f>IFERROR(E670/F670,0)</x:f>
        <x:v>1</x:v>
      </x:c>
      <x:c r="I670" t="str">
        <x:v>Adequado</x:v>
      </x:c>
      <x:c r="J670" t="str">
        <x:v>CAEd_DadosExportados (2).zip</x:v>
      </x:c>
    </x:row>
    <x:row r="671">
      <x:c r="A671" t="str">
        <x:v>2A012</x:v>
      </x:c>
      <x:c r="B671" t="str">
        <x:v>2º ano</x:v>
      </x:c>
      <x:c r="C671" t="str">
        <x:v>contraprova</x:v>
      </x:c>
      <x:c r="D671" t="str">
        <x:v>H09</x:v>
      </x:c>
      <x:c r="E671" t="n">
        <x:v>2</x:v>
      </x:c>
      <x:c r="F671" t="n">
        <x:v>2</x:v>
      </x:c>
      <x:c r="G671" t="n">
        <x:f>F671-E671</x:f>
        <x:v>0</x:v>
      </x:c>
      <x:c r="H671" s="2" t="n">
        <x:f>IFERROR(E671/F671,0)</x:f>
        <x:v>1</x:v>
      </x:c>
      <x:c r="I671" t="str">
        <x:v>Adequado</x:v>
      </x:c>
      <x:c r="J671" t="str">
        <x:v>CAEd_DadosExportados (2).zip</x:v>
      </x:c>
    </x:row>
    <x:row r="672">
      <x:c r="A672" t="str">
        <x:v>2A012</x:v>
      </x:c>
      <x:c r="B672" t="str">
        <x:v>2º ano</x:v>
      </x:c>
      <x:c r="C672" t="str">
        <x:v>contraprova</x:v>
      </x:c>
      <x:c r="D672" t="str">
        <x:v>H10</x:v>
      </x:c>
      <x:c r="E672" t="n">
        <x:v>2</x:v>
      </x:c>
      <x:c r="F672" t="n">
        <x:v>2</x:v>
      </x:c>
      <x:c r="G672" t="n">
        <x:f>F672-E672</x:f>
        <x:v>0</x:v>
      </x:c>
      <x:c r="H672" s="2" t="n">
        <x:f>IFERROR(E672/F672,0)</x:f>
        <x:v>1</x:v>
      </x:c>
      <x:c r="I672" t="str">
        <x:v>Adequado</x:v>
      </x:c>
      <x:c r="J672" t="str">
        <x:v>CAEd_DadosExportados (2).zip</x:v>
      </x:c>
    </x:row>
    <x:row r="673">
      <x:c r="A673" t="str">
        <x:v>2A012</x:v>
      </x:c>
      <x:c r="B673" t="str">
        <x:v>2º ano</x:v>
      </x:c>
      <x:c r="C673" t="str">
        <x:v>contraprova</x:v>
      </x:c>
      <x:c r="D673" t="str">
        <x:v>H11</x:v>
      </x:c>
      <x:c r="E673" t="n">
        <x:v>2</x:v>
      </x:c>
      <x:c r="F673" t="n">
        <x:v>2</x:v>
      </x:c>
      <x:c r="G673" t="n">
        <x:f>F673-E673</x:f>
        <x:v>0</x:v>
      </x:c>
      <x:c r="H673" s="2" t="n">
        <x:f>IFERROR(E673/F673,0)</x:f>
        <x:v>1</x:v>
      </x:c>
      <x:c r="I673" t="str">
        <x:v>Adequado</x:v>
      </x:c>
      <x:c r="J673" t="str">
        <x:v>CAEd_DadosExportados (2).zip</x:v>
      </x:c>
    </x:row>
    <x:row r="674">
      <x:c r="A674" t="str">
        <x:v>2A012</x:v>
      </x:c>
      <x:c r="B674" t="str">
        <x:v>2º ano</x:v>
      </x:c>
      <x:c r="C674" t="str">
        <x:v>referencia</x:v>
      </x:c>
      <x:c r="D674" t="str">
        <x:v>H01</x:v>
      </x:c>
      <x:c r="E674" t="n">
        <x:v>2</x:v>
      </x:c>
      <x:c r="F674" t="n">
        <x:v>2</x:v>
      </x:c>
      <x:c r="G674" t="n">
        <x:f>F674-E674</x:f>
        <x:v>0</x:v>
      </x:c>
      <x:c r="H674" s="2" t="n">
        <x:f>IFERROR(E674/F674,0)</x:f>
        <x:v>1</x:v>
      </x:c>
      <x:c r="I674" t="str">
        <x:v>Adequado</x:v>
      </x:c>
      <x:c r="J674" t="str">
        <x:v>CAEd_DadosExportados (1).zip</x:v>
      </x:c>
    </x:row>
    <x:row r="675">
      <x:c r="A675" t="str">
        <x:v>2A012</x:v>
      </x:c>
      <x:c r="B675" t="str">
        <x:v>2º ano</x:v>
      </x:c>
      <x:c r="C675" t="str">
        <x:v>referencia</x:v>
      </x:c>
      <x:c r="D675" t="str">
        <x:v>H02</x:v>
      </x:c>
      <x:c r="E675" t="n">
        <x:v>2</x:v>
      </x:c>
      <x:c r="F675" t="n">
        <x:v>2</x:v>
      </x:c>
      <x:c r="G675" t="n">
        <x:f>F675-E675</x:f>
        <x:v>0</x:v>
      </x:c>
      <x:c r="H675" s="2" t="n">
        <x:f>IFERROR(E675/F675,0)</x:f>
        <x:v>1</x:v>
      </x:c>
      <x:c r="I675" t="str">
        <x:v>Adequado</x:v>
      </x:c>
      <x:c r="J675" t="str">
        <x:v>CAEd_DadosExportados (1).zip</x:v>
      </x:c>
    </x:row>
    <x:row r="676">
      <x:c r="A676" t="str">
        <x:v>2A012</x:v>
      </x:c>
      <x:c r="B676" t="str">
        <x:v>2º ano</x:v>
      </x:c>
      <x:c r="C676" t="str">
        <x:v>referencia</x:v>
      </x:c>
      <x:c r="D676" t="str">
        <x:v>H03</x:v>
      </x:c>
      <x:c r="E676" t="n">
        <x:v>2</x:v>
      </x:c>
      <x:c r="F676" t="n">
        <x:v>2</x:v>
      </x:c>
      <x:c r="G676" t="n">
        <x:f>F676-E676</x:f>
        <x:v>0</x:v>
      </x:c>
      <x:c r="H676" s="2" t="n">
        <x:f>IFERROR(E676/F676,0)</x:f>
        <x:v>1</x:v>
      </x:c>
      <x:c r="I676" t="str">
        <x:v>Adequado</x:v>
      </x:c>
      <x:c r="J676" t="str">
        <x:v>CAEd_DadosExportados (1).zip</x:v>
      </x:c>
    </x:row>
    <x:row r="677">
      <x:c r="A677" t="str">
        <x:v>2A012</x:v>
      </x:c>
      <x:c r="B677" t="str">
        <x:v>2º ano</x:v>
      </x:c>
      <x:c r="C677" t="str">
        <x:v>referencia</x:v>
      </x:c>
      <x:c r="D677" t="str">
        <x:v>H04</x:v>
      </x:c>
      <x:c r="E677" t="n">
        <x:v>2</x:v>
      </x:c>
      <x:c r="F677" t="n">
        <x:v>2</x:v>
      </x:c>
      <x:c r="G677" t="n">
        <x:f>F677-E677</x:f>
        <x:v>0</x:v>
      </x:c>
      <x:c r="H677" s="2" t="n">
        <x:f>IFERROR(E677/F677,0)</x:f>
        <x:v>1</x:v>
      </x:c>
      <x:c r="I677" t="str">
        <x:v>Adequado</x:v>
      </x:c>
      <x:c r="J677" t="str">
        <x:v>CAEd_DadosExportados (1).zip</x:v>
      </x:c>
    </x:row>
    <x:row r="678">
      <x:c r="A678" t="str">
        <x:v>2A012</x:v>
      </x:c>
      <x:c r="B678" t="str">
        <x:v>2º ano</x:v>
      </x:c>
      <x:c r="C678" t="str">
        <x:v>referencia</x:v>
      </x:c>
      <x:c r="D678" t="str">
        <x:v>H05</x:v>
      </x:c>
      <x:c r="E678" t="n">
        <x:v>1</x:v>
      </x:c>
      <x:c r="F678" t="n">
        <x:v>1</x:v>
      </x:c>
      <x:c r="G678" t="n">
        <x:f>F678-E678</x:f>
        <x:v>0</x:v>
      </x:c>
      <x:c r="H678" s="2" t="n">
        <x:f>IFERROR(E678/F678,0)</x:f>
        <x:v>1</x:v>
      </x:c>
      <x:c r="I678" t="str">
        <x:v>Adequado</x:v>
      </x:c>
      <x:c r="J678" t="str">
        <x:v>CAEd_DadosExportados (1).zip</x:v>
      </x:c>
    </x:row>
    <x:row r="679">
      <x:c r="A679" t="str">
        <x:v>2A012</x:v>
      </x:c>
      <x:c r="B679" t="str">
        <x:v>2º ano</x:v>
      </x:c>
      <x:c r="C679" t="str">
        <x:v>referencia</x:v>
      </x:c>
      <x:c r="D679" t="str">
        <x:v>H06</x:v>
      </x:c>
      <x:c r="E679" t="n">
        <x:v>2</x:v>
      </x:c>
      <x:c r="F679" t="n">
        <x:v>2</x:v>
      </x:c>
      <x:c r="G679" t="n">
        <x:f>F679-E679</x:f>
        <x:v>0</x:v>
      </x:c>
      <x:c r="H679" s="2" t="n">
        <x:f>IFERROR(E679/F679,0)</x:f>
        <x:v>1</x:v>
      </x:c>
      <x:c r="I679" t="str">
        <x:v>Adequado</x:v>
      </x:c>
      <x:c r="J679" t="str">
        <x:v>CAEd_DadosExportados (1).zip</x:v>
      </x:c>
    </x:row>
    <x:row r="680">
      <x:c r="A680" t="str">
        <x:v>2A012</x:v>
      </x:c>
      <x:c r="B680" t="str">
        <x:v>2º ano</x:v>
      </x:c>
      <x:c r="C680" t="str">
        <x:v>referencia</x:v>
      </x:c>
      <x:c r="D680" t="str">
        <x:v>H07</x:v>
      </x:c>
      <x:c r="E680" t="n">
        <x:v>2</x:v>
      </x:c>
      <x:c r="F680" t="n">
        <x:v>2</x:v>
      </x:c>
      <x:c r="G680" t="n">
        <x:f>F680-E680</x:f>
        <x:v>0</x:v>
      </x:c>
      <x:c r="H680" s="2" t="n">
        <x:f>IFERROR(E680/F680,0)</x:f>
        <x:v>1</x:v>
      </x:c>
      <x:c r="I680" t="str">
        <x:v>Adequado</x:v>
      </x:c>
      <x:c r="J680" t="str">
        <x:v>CAEd_DadosExportados (1).zip</x:v>
      </x:c>
    </x:row>
    <x:row r="681">
      <x:c r="A681" t="str">
        <x:v>2A012</x:v>
      </x:c>
      <x:c r="B681" t="str">
        <x:v>2º ano</x:v>
      </x:c>
      <x:c r="C681" t="str">
        <x:v>referencia</x:v>
      </x:c>
      <x:c r="D681" t="str">
        <x:v>H08</x:v>
      </x:c>
      <x:c r="E681" t="n">
        <x:v>1</x:v>
      </x:c>
      <x:c r="F681" t="n">
        <x:v>2</x:v>
      </x:c>
      <x:c r="G681" t="n">
        <x:f>F681-E681</x:f>
        <x:v>1</x:v>
      </x:c>
      <x:c r="H681" s="2" t="n">
        <x:f>IFERROR(E681/F681,0)</x:f>
        <x:v>0.5</x:v>
      </x:c>
      <x:c r="I681" t="str">
        <x:v>Adequado</x:v>
      </x:c>
      <x:c r="J681" t="str">
        <x:v>CAEd_DadosExportados (1).zip</x:v>
      </x:c>
    </x:row>
    <x:row r="682">
      <x:c r="A682" t="str">
        <x:v>2A012</x:v>
      </x:c>
      <x:c r="B682" t="str">
        <x:v>2º ano</x:v>
      </x:c>
      <x:c r="C682" t="str">
        <x:v>referencia</x:v>
      </x:c>
      <x:c r="D682" t="str">
        <x:v>H09</x:v>
      </x:c>
      <x:c r="E682" t="n">
        <x:v>2</x:v>
      </x:c>
      <x:c r="F682" t="n">
        <x:v>2</x:v>
      </x:c>
      <x:c r="G682" t="n">
        <x:f>F682-E682</x:f>
        <x:v>0</x:v>
      </x:c>
      <x:c r="H682" s="2" t="n">
        <x:f>IFERROR(E682/F682,0)</x:f>
        <x:v>1</x:v>
      </x:c>
      <x:c r="I682" t="str">
        <x:v>Adequado</x:v>
      </x:c>
      <x:c r="J682" t="str">
        <x:v>CAEd_DadosExportados (1).zip</x:v>
      </x:c>
    </x:row>
    <x:row r="683">
      <x:c r="A683" t="str">
        <x:v>2A012</x:v>
      </x:c>
      <x:c r="B683" t="str">
        <x:v>2º ano</x:v>
      </x:c>
      <x:c r="C683" t="str">
        <x:v>referencia</x:v>
      </x:c>
      <x:c r="D683" t="str">
        <x:v>H10</x:v>
      </x:c>
      <x:c r="E683" t="n">
        <x:v>1</x:v>
      </x:c>
      <x:c r="F683" t="n">
        <x:v>1</x:v>
      </x:c>
      <x:c r="G683" t="n">
        <x:f>F683-E683</x:f>
        <x:v>0</x:v>
      </x:c>
      <x:c r="H683" s="2" t="n">
        <x:f>IFERROR(E683/F683,0)</x:f>
        <x:v>1</x:v>
      </x:c>
      <x:c r="I683" t="str">
        <x:v>Adequado</x:v>
      </x:c>
      <x:c r="J683" t="str">
        <x:v>CAEd_DadosExportados (1).zip</x:v>
      </x:c>
    </x:row>
    <x:row r="684">
      <x:c r="A684" t="str">
        <x:v>2A012</x:v>
      </x:c>
      <x:c r="B684" t="str">
        <x:v>2º ano</x:v>
      </x:c>
      <x:c r="C684" t="str">
        <x:v>referencia</x:v>
      </x:c>
      <x:c r="D684" t="str">
        <x:v>H11</x:v>
      </x:c>
      <x:c r="E684" t="n">
        <x:v>1</x:v>
      </x:c>
      <x:c r="F684" t="n">
        <x:v>2</x:v>
      </x:c>
      <x:c r="G684" t="n">
        <x:f>F684-E684</x:f>
        <x:v>1</x:v>
      </x:c>
      <x:c r="H684" s="2" t="n">
        <x:f>IFERROR(E684/F684,0)</x:f>
        <x:v>0.5</x:v>
      </x:c>
      <x:c r="I684" t="str">
        <x:v>Adequado</x:v>
      </x:c>
      <x:c r="J684" t="str">
        <x:v>CAEd_DadosExportados (1).zip</x:v>
      </x:c>
    </x:row>
    <x:row r="685">
      <x:c r="A685" t="str">
        <x:v>2A012</x:v>
      </x:c>
      <x:c r="B685" t="str">
        <x:v>2º ano</x:v>
      </x:c>
      <x:c r="C685" t="str">
        <x:v>referencia</x:v>
      </x:c>
      <x:c r="D685" t="str">
        <x:v>H12</x:v>
      </x:c>
      <x:c r="E685" t="n">
        <x:v>1</x:v>
      </x:c>
      <x:c r="F685" t="n">
        <x:v>1</x:v>
      </x:c>
      <x:c r="G685" t="n">
        <x:f>F685-E685</x:f>
        <x:v>0</x:v>
      </x:c>
      <x:c r="H685" s="2" t="n">
        <x:f>IFERROR(E685/F685,0)</x:f>
        <x:v>1</x:v>
      </x:c>
      <x:c r="I685" t="str">
        <x:v>Adequado</x:v>
      </x:c>
      <x:c r="J685" t="str">
        <x:v>CAEd_DadosExportados (1).zip</x:v>
      </x:c>
    </x:row>
    <x:row r="686">
      <x:c r="A686" t="str">
        <x:v>2A012</x:v>
      </x:c>
      <x:c r="B686" t="str">
        <x:v>2º ano</x:v>
      </x:c>
      <x:c r="C686" t="str">
        <x:v>referencia</x:v>
      </x:c>
      <x:c r="D686" t="str">
        <x:v>H13</x:v>
      </x:c>
      <x:c r="E686" t="n">
        <x:v>0</x:v>
      </x:c>
      <x:c r="F686" t="n">
        <x:v>1</x:v>
      </x:c>
      <x:c r="G686" t="n">
        <x:f>F686-E686</x:f>
        <x:v>1</x:v>
      </x:c>
      <x:c r="H686" s="2" t="n">
        <x:f>IFERROR(E686/F686,0)</x:f>
        <x:v>0</x:v>
      </x:c>
      <x:c r="I686" t="str">
        <x:v>Adequado</x:v>
      </x:c>
      <x:c r="J686" t="str">
        <x:v>CAEd_DadosExportados (1).zip</x:v>
      </x:c>
    </x:row>
    <x:row r="687">
      <x:c r="A687" t="str">
        <x:v>2A013</x:v>
      </x:c>
      <x:c r="B687" t="str">
        <x:v>2º ano</x:v>
      </x:c>
      <x:c r="C687" t="str">
        <x:v>contraprova</x:v>
      </x:c>
      <x:c r="D687" t="str">
        <x:v>H01</x:v>
      </x:c>
      <x:c r="E687" t="n">
        <x:v>1</x:v>
      </x:c>
      <x:c r="F687" t="n">
        <x:v>2</x:v>
      </x:c>
      <x:c r="G687" t="n">
        <x:f>F687-E687</x:f>
        <x:v>1</x:v>
      </x:c>
      <x:c r="H687" s="2" t="n">
        <x:f>IFERROR(E687/F687,0)</x:f>
        <x:v>0.5</x:v>
      </x:c>
      <x:c r="I687" t="str">
        <x:v>Adequado</x:v>
      </x:c>
      <x:c r="J687" t="str">
        <x:v>CAEd_DadosExportados (2).zip</x:v>
      </x:c>
    </x:row>
    <x:row r="688">
      <x:c r="A688" t="str">
        <x:v>2A013</x:v>
      </x:c>
      <x:c r="B688" t="str">
        <x:v>2º ano</x:v>
      </x:c>
      <x:c r="C688" t="str">
        <x:v>contraprova</x:v>
      </x:c>
      <x:c r="D688" t="str">
        <x:v>H02</x:v>
      </x:c>
      <x:c r="E688" t="n">
        <x:v>2</x:v>
      </x:c>
      <x:c r="F688" t="n">
        <x:v>2</x:v>
      </x:c>
      <x:c r="G688" t="n">
        <x:f>F688-E688</x:f>
        <x:v>0</x:v>
      </x:c>
      <x:c r="H688" s="2" t="n">
        <x:f>IFERROR(E688/F688,0)</x:f>
        <x:v>1</x:v>
      </x:c>
      <x:c r="I688" t="str">
        <x:v>Adequado</x:v>
      </x:c>
      <x:c r="J688" t="str">
        <x:v>CAEd_DadosExportados (2).zip</x:v>
      </x:c>
    </x:row>
    <x:row r="689">
      <x:c r="A689" t="str">
        <x:v>2A013</x:v>
      </x:c>
      <x:c r="B689" t="str">
        <x:v>2º ano</x:v>
      </x:c>
      <x:c r="C689" t="str">
        <x:v>contraprova</x:v>
      </x:c>
      <x:c r="D689" t="str">
        <x:v>H03</x:v>
      </x:c>
      <x:c r="E689" t="n">
        <x:v>2</x:v>
      </x:c>
      <x:c r="F689" t="n">
        <x:v>2</x:v>
      </x:c>
      <x:c r="G689" t="n">
        <x:f>F689-E689</x:f>
        <x:v>0</x:v>
      </x:c>
      <x:c r="H689" s="2" t="n">
        <x:f>IFERROR(E689/F689,0)</x:f>
        <x:v>1</x:v>
      </x:c>
      <x:c r="I689" t="str">
        <x:v>Adequado</x:v>
      </x:c>
      <x:c r="J689" t="str">
        <x:v>CAEd_DadosExportados (2).zip</x:v>
      </x:c>
    </x:row>
    <x:row r="690">
      <x:c r="A690" t="str">
        <x:v>2A013</x:v>
      </x:c>
      <x:c r="B690" t="str">
        <x:v>2º ano</x:v>
      </x:c>
      <x:c r="C690" t="str">
        <x:v>contraprova</x:v>
      </x:c>
      <x:c r="D690" t="str">
        <x:v>H04</x:v>
      </x:c>
      <x:c r="E690" t="n">
        <x:v>2</x:v>
      </x:c>
      <x:c r="F690" t="n">
        <x:v>2</x:v>
      </x:c>
      <x:c r="G690" t="n">
        <x:f>F690-E690</x:f>
        <x:v>0</x:v>
      </x:c>
      <x:c r="H690" s="2" t="n">
        <x:f>IFERROR(E690/F690,0)</x:f>
        <x:v>1</x:v>
      </x:c>
      <x:c r="I690" t="str">
        <x:v>Adequado</x:v>
      </x:c>
      <x:c r="J690" t="str">
        <x:v>CAEd_DadosExportados (2).zip</x:v>
      </x:c>
    </x:row>
    <x:row r="691">
      <x:c r="A691" t="str">
        <x:v>2A013</x:v>
      </x:c>
      <x:c r="B691" t="str">
        <x:v>2º ano</x:v>
      </x:c>
      <x:c r="C691" t="str">
        <x:v>contraprova</x:v>
      </x:c>
      <x:c r="D691" t="str">
        <x:v>H05</x:v>
      </x:c>
      <x:c r="E691" t="n">
        <x:v>2</x:v>
      </x:c>
      <x:c r="F691" t="n">
        <x:v>2</x:v>
      </x:c>
      <x:c r="G691" t="n">
        <x:f>F691-E691</x:f>
        <x:v>0</x:v>
      </x:c>
      <x:c r="H691" s="2" t="n">
        <x:f>IFERROR(E691/F691,0)</x:f>
        <x:v>1</x:v>
      </x:c>
      <x:c r="I691" t="str">
        <x:v>Adequado</x:v>
      </x:c>
      <x:c r="J691" t="str">
        <x:v>CAEd_DadosExportados (2).zip</x:v>
      </x:c>
    </x:row>
    <x:row r="692">
      <x:c r="A692" t="str">
        <x:v>2A013</x:v>
      </x:c>
      <x:c r="B692" t="str">
        <x:v>2º ano</x:v>
      </x:c>
      <x:c r="C692" t="str">
        <x:v>contraprova</x:v>
      </x:c>
      <x:c r="D692" t="str">
        <x:v>H06</x:v>
      </x:c>
      <x:c r="E692" t="n">
        <x:v>2</x:v>
      </x:c>
      <x:c r="F692" t="n">
        <x:v>2</x:v>
      </x:c>
      <x:c r="G692" t="n">
        <x:f>F692-E692</x:f>
        <x:v>0</x:v>
      </x:c>
      <x:c r="H692" s="2" t="n">
        <x:f>IFERROR(E692/F692,0)</x:f>
        <x:v>1</x:v>
      </x:c>
      <x:c r="I692" t="str">
        <x:v>Adequado</x:v>
      </x:c>
      <x:c r="J692" t="str">
        <x:v>CAEd_DadosExportados (2).zip</x:v>
      </x:c>
    </x:row>
    <x:row r="693">
      <x:c r="A693" t="str">
        <x:v>2A013</x:v>
      </x:c>
      <x:c r="B693" t="str">
        <x:v>2º ano</x:v>
      </x:c>
      <x:c r="C693" t="str">
        <x:v>contraprova</x:v>
      </x:c>
      <x:c r="D693" t="str">
        <x:v>H07</x:v>
      </x:c>
      <x:c r="E693" t="n">
        <x:v>1</x:v>
      </x:c>
      <x:c r="F693" t="n">
        <x:v>2</x:v>
      </x:c>
      <x:c r="G693" t="n">
        <x:f>F693-E693</x:f>
        <x:v>1</x:v>
      </x:c>
      <x:c r="H693" s="2" t="n">
        <x:f>IFERROR(E693/F693,0)</x:f>
        <x:v>0.5</x:v>
      </x:c>
      <x:c r="I693" t="str">
        <x:v>Adequado</x:v>
      </x:c>
      <x:c r="J693" t="str">
        <x:v>CAEd_DadosExportados (2).zip</x:v>
      </x:c>
    </x:row>
    <x:row r="694">
      <x:c r="A694" t="str">
        <x:v>2A013</x:v>
      </x:c>
      <x:c r="B694" t="str">
        <x:v>2º ano</x:v>
      </x:c>
      <x:c r="C694" t="str">
        <x:v>contraprova</x:v>
      </x:c>
      <x:c r="D694" t="str">
        <x:v>H08</x:v>
      </x:c>
      <x:c r="E694" t="n">
        <x:v>1</x:v>
      </x:c>
      <x:c r="F694" t="n">
        <x:v>2</x:v>
      </x:c>
      <x:c r="G694" t="n">
        <x:f>F694-E694</x:f>
        <x:v>1</x:v>
      </x:c>
      <x:c r="H694" s="2" t="n">
        <x:f>IFERROR(E694/F694,0)</x:f>
        <x:v>0.5</x:v>
      </x:c>
      <x:c r="I694" t="str">
        <x:v>Adequado</x:v>
      </x:c>
      <x:c r="J694" t="str">
        <x:v>CAEd_DadosExportados (2).zip</x:v>
      </x:c>
    </x:row>
    <x:row r="695">
      <x:c r="A695" t="str">
        <x:v>2A013</x:v>
      </x:c>
      <x:c r="B695" t="str">
        <x:v>2º ano</x:v>
      </x:c>
      <x:c r="C695" t="str">
        <x:v>contraprova</x:v>
      </x:c>
      <x:c r="D695" t="str">
        <x:v>H09</x:v>
      </x:c>
      <x:c r="E695" t="n">
        <x:v>2</x:v>
      </x:c>
      <x:c r="F695" t="n">
        <x:v>2</x:v>
      </x:c>
      <x:c r="G695" t="n">
        <x:f>F695-E695</x:f>
        <x:v>0</x:v>
      </x:c>
      <x:c r="H695" s="2" t="n">
        <x:f>IFERROR(E695/F695,0)</x:f>
        <x:v>1</x:v>
      </x:c>
      <x:c r="I695" t="str">
        <x:v>Adequado</x:v>
      </x:c>
      <x:c r="J695" t="str">
        <x:v>CAEd_DadosExportados (2).zip</x:v>
      </x:c>
    </x:row>
    <x:row r="696">
      <x:c r="A696" t="str">
        <x:v>2A013</x:v>
      </x:c>
      <x:c r="B696" t="str">
        <x:v>2º ano</x:v>
      </x:c>
      <x:c r="C696" t="str">
        <x:v>contraprova</x:v>
      </x:c>
      <x:c r="D696" t="str">
        <x:v>H10</x:v>
      </x:c>
      <x:c r="E696" t="n">
        <x:v>2</x:v>
      </x:c>
      <x:c r="F696" t="n">
        <x:v>2</x:v>
      </x:c>
      <x:c r="G696" t="n">
        <x:f>F696-E696</x:f>
        <x:v>0</x:v>
      </x:c>
      <x:c r="H696" s="2" t="n">
        <x:f>IFERROR(E696/F696,0)</x:f>
        <x:v>1</x:v>
      </x:c>
      <x:c r="I696" t="str">
        <x:v>Adequado</x:v>
      </x:c>
      <x:c r="J696" t="str">
        <x:v>CAEd_DadosExportados (2).zip</x:v>
      </x:c>
    </x:row>
    <x:row r="697">
      <x:c r="A697" t="str">
        <x:v>2A013</x:v>
      </x:c>
      <x:c r="B697" t="str">
        <x:v>2º ano</x:v>
      </x:c>
      <x:c r="C697" t="str">
        <x:v>contraprova</x:v>
      </x:c>
      <x:c r="D697" t="str">
        <x:v>H11</x:v>
      </x:c>
      <x:c r="E697" t="n">
        <x:v>2</x:v>
      </x:c>
      <x:c r="F697" t="n">
        <x:v>2</x:v>
      </x:c>
      <x:c r="G697" t="n">
        <x:f>F697-E697</x:f>
        <x:v>0</x:v>
      </x:c>
      <x:c r="H697" s="2" t="n">
        <x:f>IFERROR(E697/F697,0)</x:f>
        <x:v>1</x:v>
      </x:c>
      <x:c r="I697" t="str">
        <x:v>Adequado</x:v>
      </x:c>
      <x:c r="J697" t="str">
        <x:v>CAEd_DadosExportados (2).zip</x:v>
      </x:c>
    </x:row>
    <x:row r="698">
      <x:c r="A698" t="str">
        <x:v>2A013</x:v>
      </x:c>
      <x:c r="B698" t="str">
        <x:v>2º ano</x:v>
      </x:c>
      <x:c r="C698" t="str">
        <x:v>referencia</x:v>
      </x:c>
      <x:c r="D698" t="str">
        <x:v>H01</x:v>
      </x:c>
      <x:c r="E698" t="n">
        <x:v>0</x:v>
      </x:c>
      <x:c r="F698" t="n">
        <x:v>2</x:v>
      </x:c>
      <x:c r="G698" t="n">
        <x:f>F698-E698</x:f>
        <x:v>2</x:v>
      </x:c>
      <x:c r="H698" s="2" t="n">
        <x:f>IFERROR(E698/F698,0)</x:f>
        <x:v>0</x:v>
      </x:c>
      <x:c r="I698" t="str">
        <x:v>Defasagem</x:v>
      </x:c>
      <x:c r="J698" t="str">
        <x:v>CAEd_DadosExportados (1).zip</x:v>
      </x:c>
    </x:row>
    <x:row r="699">
      <x:c r="A699" t="str">
        <x:v>2A013</x:v>
      </x:c>
      <x:c r="B699" t="str">
        <x:v>2º ano</x:v>
      </x:c>
      <x:c r="C699" t="str">
        <x:v>referencia</x:v>
      </x:c>
      <x:c r="D699" t="str">
        <x:v>H02</x:v>
      </x:c>
      <x:c r="E699" t="n">
        <x:v>1</x:v>
      </x:c>
      <x:c r="F699" t="n">
        <x:v>2</x:v>
      </x:c>
      <x:c r="G699" t="n">
        <x:f>F699-E699</x:f>
        <x:v>1</x:v>
      </x:c>
      <x:c r="H699" s="2" t="n">
        <x:f>IFERROR(E699/F699,0)</x:f>
        <x:v>0.5</x:v>
      </x:c>
      <x:c r="I699" t="str">
        <x:v>Defasagem</x:v>
      </x:c>
      <x:c r="J699" t="str">
        <x:v>CAEd_DadosExportados (1).zip</x:v>
      </x:c>
    </x:row>
    <x:row r="700">
      <x:c r="A700" t="str">
        <x:v>2A013</x:v>
      </x:c>
      <x:c r="B700" t="str">
        <x:v>2º ano</x:v>
      </x:c>
      <x:c r="C700" t="str">
        <x:v>referencia</x:v>
      </x:c>
      <x:c r="D700" t="str">
        <x:v>H03</x:v>
      </x:c>
      <x:c r="E700" t="n">
        <x:v>1</x:v>
      </x:c>
      <x:c r="F700" t="n">
        <x:v>2</x:v>
      </x:c>
      <x:c r="G700" t="n">
        <x:f>F700-E700</x:f>
        <x:v>1</x:v>
      </x:c>
      <x:c r="H700" s="2" t="n">
        <x:f>IFERROR(E700/F700,0)</x:f>
        <x:v>0.5</x:v>
      </x:c>
      <x:c r="I700" t="str">
        <x:v>Defasagem</x:v>
      </x:c>
      <x:c r="J700" t="str">
        <x:v>CAEd_DadosExportados (1).zip</x:v>
      </x:c>
    </x:row>
    <x:row r="701">
      <x:c r="A701" t="str">
        <x:v>2A013</x:v>
      </x:c>
      <x:c r="B701" t="str">
        <x:v>2º ano</x:v>
      </x:c>
      <x:c r="C701" t="str">
        <x:v>referencia</x:v>
      </x:c>
      <x:c r="D701" t="str">
        <x:v>H04</x:v>
      </x:c>
      <x:c r="E701" t="n">
        <x:v>1</x:v>
      </x:c>
      <x:c r="F701" t="n">
        <x:v>2</x:v>
      </x:c>
      <x:c r="G701" t="n">
        <x:f>F701-E701</x:f>
        <x:v>1</x:v>
      </x:c>
      <x:c r="H701" s="2" t="n">
        <x:f>IFERROR(E701/F701,0)</x:f>
        <x:v>0.5</x:v>
      </x:c>
      <x:c r="I701" t="str">
        <x:v>Defasagem</x:v>
      </x:c>
      <x:c r="J701" t="str">
        <x:v>CAEd_DadosExportados (1).zip</x:v>
      </x:c>
    </x:row>
    <x:row r="702">
      <x:c r="A702" t="str">
        <x:v>2A013</x:v>
      </x:c>
      <x:c r="B702" t="str">
        <x:v>2º ano</x:v>
      </x:c>
      <x:c r="C702" t="str">
        <x:v>referencia</x:v>
      </x:c>
      <x:c r="D702" t="str">
        <x:v>H05</x:v>
      </x:c>
      <x:c r="E702" t="n">
        <x:v>1</x:v>
      </x:c>
      <x:c r="F702" t="n">
        <x:v>1</x:v>
      </x:c>
      <x:c r="G702" t="n">
        <x:f>F702-E702</x:f>
        <x:v>0</x:v>
      </x:c>
      <x:c r="H702" s="2" t="n">
        <x:f>IFERROR(E702/F702,0)</x:f>
        <x:v>1</x:v>
      </x:c>
      <x:c r="I702" t="str">
        <x:v>Defasagem</x:v>
      </x:c>
      <x:c r="J702" t="str">
        <x:v>CAEd_DadosExportados (1).zip</x:v>
      </x:c>
    </x:row>
    <x:row r="703">
      <x:c r="A703" t="str">
        <x:v>2A013</x:v>
      </x:c>
      <x:c r="B703" t="str">
        <x:v>2º ano</x:v>
      </x:c>
      <x:c r="C703" t="str">
        <x:v>referencia</x:v>
      </x:c>
      <x:c r="D703" t="str">
        <x:v>H06</x:v>
      </x:c>
      <x:c r="E703" t="n">
        <x:v>1</x:v>
      </x:c>
      <x:c r="F703" t="n">
        <x:v>2</x:v>
      </x:c>
      <x:c r="G703" t="n">
        <x:f>F703-E703</x:f>
        <x:v>1</x:v>
      </x:c>
      <x:c r="H703" s="2" t="n">
        <x:f>IFERROR(E703/F703,0)</x:f>
        <x:v>0.5</x:v>
      </x:c>
      <x:c r="I703" t="str">
        <x:v>Defasagem</x:v>
      </x:c>
      <x:c r="J703" t="str">
        <x:v>CAEd_DadosExportados (1).zip</x:v>
      </x:c>
    </x:row>
    <x:row r="704">
      <x:c r="A704" t="str">
        <x:v>2A013</x:v>
      </x:c>
      <x:c r="B704" t="str">
        <x:v>2º ano</x:v>
      </x:c>
      <x:c r="C704" t="str">
        <x:v>referencia</x:v>
      </x:c>
      <x:c r="D704" t="str">
        <x:v>H07</x:v>
      </x:c>
      <x:c r="E704" t="n">
        <x:v>2</x:v>
      </x:c>
      <x:c r="F704" t="n">
        <x:v>2</x:v>
      </x:c>
      <x:c r="G704" t="n">
        <x:f>F704-E704</x:f>
        <x:v>0</x:v>
      </x:c>
      <x:c r="H704" s="2" t="n">
        <x:f>IFERROR(E704/F704,0)</x:f>
        <x:v>1</x:v>
      </x:c>
      <x:c r="I704" t="str">
        <x:v>Defasagem</x:v>
      </x:c>
      <x:c r="J704" t="str">
        <x:v>CAEd_DadosExportados (1).zip</x:v>
      </x:c>
    </x:row>
    <x:row r="705">
      <x:c r="A705" t="str">
        <x:v>2A013</x:v>
      </x:c>
      <x:c r="B705" t="str">
        <x:v>2º ano</x:v>
      </x:c>
      <x:c r="C705" t="str">
        <x:v>referencia</x:v>
      </x:c>
      <x:c r="D705" t="str">
        <x:v>H08</x:v>
      </x:c>
      <x:c r="E705" t="n">
        <x:v>0</x:v>
      </x:c>
      <x:c r="F705" t="n">
        <x:v>2</x:v>
      </x:c>
      <x:c r="G705" t="n">
        <x:f>F705-E705</x:f>
        <x:v>2</x:v>
      </x:c>
      <x:c r="H705" s="2" t="n">
        <x:f>IFERROR(E705/F705,0)</x:f>
        <x:v>0</x:v>
      </x:c>
      <x:c r="I705" t="str">
        <x:v>Defasagem</x:v>
      </x:c>
      <x:c r="J705" t="str">
        <x:v>CAEd_DadosExportados (1).zip</x:v>
      </x:c>
    </x:row>
    <x:row r="706">
      <x:c r="A706" t="str">
        <x:v>2A013</x:v>
      </x:c>
      <x:c r="B706" t="str">
        <x:v>2º ano</x:v>
      </x:c>
      <x:c r="C706" t="str">
        <x:v>referencia</x:v>
      </x:c>
      <x:c r="D706" t="str">
        <x:v>H09</x:v>
      </x:c>
      <x:c r="E706" t="n">
        <x:v>2</x:v>
      </x:c>
      <x:c r="F706" t="n">
        <x:v>2</x:v>
      </x:c>
      <x:c r="G706" t="n">
        <x:f>F706-E706</x:f>
        <x:v>0</x:v>
      </x:c>
      <x:c r="H706" s="2" t="n">
        <x:f>IFERROR(E706/F706,0)</x:f>
        <x:v>1</x:v>
      </x:c>
      <x:c r="I706" t="str">
        <x:v>Defasagem</x:v>
      </x:c>
      <x:c r="J706" t="str">
        <x:v>CAEd_DadosExportados (1).zip</x:v>
      </x:c>
    </x:row>
    <x:row r="707">
      <x:c r="A707" t="str">
        <x:v>2A013</x:v>
      </x:c>
      <x:c r="B707" t="str">
        <x:v>2º ano</x:v>
      </x:c>
      <x:c r="C707" t="str">
        <x:v>referencia</x:v>
      </x:c>
      <x:c r="D707" t="str">
        <x:v>H10</x:v>
      </x:c>
      <x:c r="E707" t="n">
        <x:v>0</x:v>
      </x:c>
      <x:c r="F707" t="n">
        <x:v>1</x:v>
      </x:c>
      <x:c r="G707" t="n">
        <x:f>F707-E707</x:f>
        <x:v>1</x:v>
      </x:c>
      <x:c r="H707" s="2" t="n">
        <x:f>IFERROR(E707/F707,0)</x:f>
        <x:v>0</x:v>
      </x:c>
      <x:c r="I707" t="str">
        <x:v>Defasagem</x:v>
      </x:c>
      <x:c r="J707" t="str">
        <x:v>CAEd_DadosExportados (1).zip</x:v>
      </x:c>
    </x:row>
    <x:row r="708">
      <x:c r="A708" t="str">
        <x:v>2A013</x:v>
      </x:c>
      <x:c r="B708" t="str">
        <x:v>2º ano</x:v>
      </x:c>
      <x:c r="C708" t="str">
        <x:v>referencia</x:v>
      </x:c>
      <x:c r="D708" t="str">
        <x:v>H11</x:v>
      </x:c>
      <x:c r="E708" t="n">
        <x:v>0</x:v>
      </x:c>
      <x:c r="F708" t="n">
        <x:v>2</x:v>
      </x:c>
      <x:c r="G708" t="n">
        <x:f>F708-E708</x:f>
        <x:v>2</x:v>
      </x:c>
      <x:c r="H708" s="2" t="n">
        <x:f>IFERROR(E708/F708,0)</x:f>
        <x:v>0</x:v>
      </x:c>
      <x:c r="I708" t="str">
        <x:v>Defasagem</x:v>
      </x:c>
      <x:c r="J708" t="str">
        <x:v>CAEd_DadosExportados (1).zip</x:v>
      </x:c>
    </x:row>
    <x:row r="709">
      <x:c r="A709" t="str">
        <x:v>2A013</x:v>
      </x:c>
      <x:c r="B709" t="str">
        <x:v>2º ano</x:v>
      </x:c>
      <x:c r="C709" t="str">
        <x:v>referencia</x:v>
      </x:c>
      <x:c r="D709" t="str">
        <x:v>H12</x:v>
      </x:c>
      <x:c r="E709" t="n">
        <x:v>0</x:v>
      </x:c>
      <x:c r="F709" t="n">
        <x:v>1</x:v>
      </x:c>
      <x:c r="G709" t="n">
        <x:f>F709-E709</x:f>
        <x:v>1</x:v>
      </x:c>
      <x:c r="H709" s="2" t="n">
        <x:f>IFERROR(E709/F709,0)</x:f>
        <x:v>0</x:v>
      </x:c>
      <x:c r="I709" t="str">
        <x:v>Defasagem</x:v>
      </x:c>
      <x:c r="J709" t="str">
        <x:v>CAEd_DadosExportados (1).zip</x:v>
      </x:c>
    </x:row>
    <x:row r="710">
      <x:c r="A710" t="str">
        <x:v>2A013</x:v>
      </x:c>
      <x:c r="B710" t="str">
        <x:v>2º ano</x:v>
      </x:c>
      <x:c r="C710" t="str">
        <x:v>referencia</x:v>
      </x:c>
      <x:c r="D710" t="str">
        <x:v>H13</x:v>
      </x:c>
      <x:c r="E710" t="n">
        <x:v>0</x:v>
      </x:c>
      <x:c r="F710" t="n">
        <x:v>1</x:v>
      </x:c>
      <x:c r="G710" t="n">
        <x:f>F710-E710</x:f>
        <x:v>1</x:v>
      </x:c>
      <x:c r="H710" s="2" t="n">
        <x:f>IFERROR(E710/F710,0)</x:f>
        <x:v>0</x:v>
      </x:c>
      <x:c r="I710" t="str">
        <x:v>Defasagem</x:v>
      </x:c>
      <x:c r="J710" t="str">
        <x:v>CAEd_DadosExportados (1).zip</x:v>
      </x:c>
    </x:row>
    <x:row r="711">
      <x:c r="A711" t="str">
        <x:v>2A014</x:v>
      </x:c>
      <x:c r="B711" t="str">
        <x:v>2º ano</x:v>
      </x:c>
      <x:c r="C711" t="str">
        <x:v>contraprova</x:v>
      </x:c>
      <x:c r="D711" t="str">
        <x:v>H01</x:v>
      </x:c>
      <x:c r="E711" t="n">
        <x:v>0</x:v>
      </x:c>
      <x:c r="F711" t="n">
        <x:v>2</x:v>
      </x:c>
      <x:c r="G711" t="n">
        <x:f>F711-E711</x:f>
        <x:v>2</x:v>
      </x:c>
      <x:c r="H711" s="2" t="n">
        <x:f>IFERROR(E711/F711,0)</x:f>
        <x:v>0</x:v>
      </x:c>
      <x:c r="I711" t="str">
        <x:v>Adequado</x:v>
      </x:c>
      <x:c r="J711" t="str">
        <x:v>CAEd_DadosExportados (2).zip</x:v>
      </x:c>
    </x:row>
    <x:row r="712">
      <x:c r="A712" t="str">
        <x:v>2A014</x:v>
      </x:c>
      <x:c r="B712" t="str">
        <x:v>2º ano</x:v>
      </x:c>
      <x:c r="C712" t="str">
        <x:v>contraprova</x:v>
      </x:c>
      <x:c r="D712" t="str">
        <x:v>H02</x:v>
      </x:c>
      <x:c r="E712" t="n">
        <x:v>2</x:v>
      </x:c>
      <x:c r="F712" t="n">
        <x:v>2</x:v>
      </x:c>
      <x:c r="G712" t="n">
        <x:f>F712-E712</x:f>
        <x:v>0</x:v>
      </x:c>
      <x:c r="H712" s="2" t="n">
        <x:f>IFERROR(E712/F712,0)</x:f>
        <x:v>1</x:v>
      </x:c>
      <x:c r="I712" t="str">
        <x:v>Adequado</x:v>
      </x:c>
      <x:c r="J712" t="str">
        <x:v>CAEd_DadosExportados (2).zip</x:v>
      </x:c>
    </x:row>
    <x:row r="713">
      <x:c r="A713" t="str">
        <x:v>2A014</x:v>
      </x:c>
      <x:c r="B713" t="str">
        <x:v>2º ano</x:v>
      </x:c>
      <x:c r="C713" t="str">
        <x:v>contraprova</x:v>
      </x:c>
      <x:c r="D713" t="str">
        <x:v>H03</x:v>
      </x:c>
      <x:c r="E713" t="n">
        <x:v>1</x:v>
      </x:c>
      <x:c r="F713" t="n">
        <x:v>2</x:v>
      </x:c>
      <x:c r="G713" t="n">
        <x:f>F713-E713</x:f>
        <x:v>1</x:v>
      </x:c>
      <x:c r="H713" s="2" t="n">
        <x:f>IFERROR(E713/F713,0)</x:f>
        <x:v>0.5</x:v>
      </x:c>
      <x:c r="I713" t="str">
        <x:v>Adequado</x:v>
      </x:c>
      <x:c r="J713" t="str">
        <x:v>CAEd_DadosExportados (2).zip</x:v>
      </x:c>
    </x:row>
    <x:row r="714">
      <x:c r="A714" t="str">
        <x:v>2A014</x:v>
      </x:c>
      <x:c r="B714" t="str">
        <x:v>2º ano</x:v>
      </x:c>
      <x:c r="C714" t="str">
        <x:v>contraprova</x:v>
      </x:c>
      <x:c r="D714" t="str">
        <x:v>H04</x:v>
      </x:c>
      <x:c r="E714" t="n">
        <x:v>2</x:v>
      </x:c>
      <x:c r="F714" t="n">
        <x:v>2</x:v>
      </x:c>
      <x:c r="G714" t="n">
        <x:f>F714-E714</x:f>
        <x:v>0</x:v>
      </x:c>
      <x:c r="H714" s="2" t="n">
        <x:f>IFERROR(E714/F714,0)</x:f>
        <x:v>1</x:v>
      </x:c>
      <x:c r="I714" t="str">
        <x:v>Adequado</x:v>
      </x:c>
      <x:c r="J714" t="str">
        <x:v>CAEd_DadosExportados (2).zip</x:v>
      </x:c>
    </x:row>
    <x:row r="715">
      <x:c r="A715" t="str">
        <x:v>2A014</x:v>
      </x:c>
      <x:c r="B715" t="str">
        <x:v>2º ano</x:v>
      </x:c>
      <x:c r="C715" t="str">
        <x:v>contraprova</x:v>
      </x:c>
      <x:c r="D715" t="str">
        <x:v>H05</x:v>
      </x:c>
      <x:c r="E715" t="n">
        <x:v>1</x:v>
      </x:c>
      <x:c r="F715" t="n">
        <x:v>2</x:v>
      </x:c>
      <x:c r="G715" t="n">
        <x:f>F715-E715</x:f>
        <x:v>1</x:v>
      </x:c>
      <x:c r="H715" s="2" t="n">
        <x:f>IFERROR(E715/F715,0)</x:f>
        <x:v>0.5</x:v>
      </x:c>
      <x:c r="I715" t="str">
        <x:v>Adequado</x:v>
      </x:c>
      <x:c r="J715" t="str">
        <x:v>CAEd_DadosExportados (2).zip</x:v>
      </x:c>
    </x:row>
    <x:row r="716">
      <x:c r="A716" t="str">
        <x:v>2A014</x:v>
      </x:c>
      <x:c r="B716" t="str">
        <x:v>2º ano</x:v>
      </x:c>
      <x:c r="C716" t="str">
        <x:v>contraprova</x:v>
      </x:c>
      <x:c r="D716" t="str">
        <x:v>H06</x:v>
      </x:c>
      <x:c r="E716" t="n">
        <x:v>1</x:v>
      </x:c>
      <x:c r="F716" t="n">
        <x:v>2</x:v>
      </x:c>
      <x:c r="G716" t="n">
        <x:f>F716-E716</x:f>
        <x:v>1</x:v>
      </x:c>
      <x:c r="H716" s="2" t="n">
        <x:f>IFERROR(E716/F716,0)</x:f>
        <x:v>0.5</x:v>
      </x:c>
      <x:c r="I716" t="str">
        <x:v>Adequado</x:v>
      </x:c>
      <x:c r="J716" t="str">
        <x:v>CAEd_DadosExportados (2).zip</x:v>
      </x:c>
    </x:row>
    <x:row r="717">
      <x:c r="A717" t="str">
        <x:v>2A014</x:v>
      </x:c>
      <x:c r="B717" t="str">
        <x:v>2º ano</x:v>
      </x:c>
      <x:c r="C717" t="str">
        <x:v>contraprova</x:v>
      </x:c>
      <x:c r="D717" t="str">
        <x:v>H07</x:v>
      </x:c>
      <x:c r="E717" t="n">
        <x:v>2</x:v>
      </x:c>
      <x:c r="F717" t="n">
        <x:v>2</x:v>
      </x:c>
      <x:c r="G717" t="n">
        <x:f>F717-E717</x:f>
        <x:v>0</x:v>
      </x:c>
      <x:c r="H717" s="2" t="n">
        <x:f>IFERROR(E717/F717,0)</x:f>
        <x:v>1</x:v>
      </x:c>
      <x:c r="I717" t="str">
        <x:v>Adequado</x:v>
      </x:c>
      <x:c r="J717" t="str">
        <x:v>CAEd_DadosExportados (2).zip</x:v>
      </x:c>
    </x:row>
    <x:row r="718">
      <x:c r="A718" t="str">
        <x:v>2A014</x:v>
      </x:c>
      <x:c r="B718" t="str">
        <x:v>2º ano</x:v>
      </x:c>
      <x:c r="C718" t="str">
        <x:v>contraprova</x:v>
      </x:c>
      <x:c r="D718" t="str">
        <x:v>H08</x:v>
      </x:c>
      <x:c r="E718" t="n">
        <x:v>2</x:v>
      </x:c>
      <x:c r="F718" t="n">
        <x:v>2</x:v>
      </x:c>
      <x:c r="G718" t="n">
        <x:f>F718-E718</x:f>
        <x:v>0</x:v>
      </x:c>
      <x:c r="H718" s="2" t="n">
        <x:f>IFERROR(E718/F718,0)</x:f>
        <x:v>1</x:v>
      </x:c>
      <x:c r="I718" t="str">
        <x:v>Adequado</x:v>
      </x:c>
      <x:c r="J718" t="str">
        <x:v>CAEd_DadosExportados (2).zip</x:v>
      </x:c>
    </x:row>
    <x:row r="719">
      <x:c r="A719" t="str">
        <x:v>2A014</x:v>
      </x:c>
      <x:c r="B719" t="str">
        <x:v>2º ano</x:v>
      </x:c>
      <x:c r="C719" t="str">
        <x:v>contraprova</x:v>
      </x:c>
      <x:c r="D719" t="str">
        <x:v>H09</x:v>
      </x:c>
      <x:c r="E719" t="n">
        <x:v>2</x:v>
      </x:c>
      <x:c r="F719" t="n">
        <x:v>2</x:v>
      </x:c>
      <x:c r="G719" t="n">
        <x:f>F719-E719</x:f>
        <x:v>0</x:v>
      </x:c>
      <x:c r="H719" s="2" t="n">
        <x:f>IFERROR(E719/F719,0)</x:f>
        <x:v>1</x:v>
      </x:c>
      <x:c r="I719" t="str">
        <x:v>Adequado</x:v>
      </x:c>
      <x:c r="J719" t="str">
        <x:v>CAEd_DadosExportados (2).zip</x:v>
      </x:c>
    </x:row>
    <x:row r="720">
      <x:c r="A720" t="str">
        <x:v>2A014</x:v>
      </x:c>
      <x:c r="B720" t="str">
        <x:v>2º ano</x:v>
      </x:c>
      <x:c r="C720" t="str">
        <x:v>contraprova</x:v>
      </x:c>
      <x:c r="D720" t="str">
        <x:v>H10</x:v>
      </x:c>
      <x:c r="E720" t="n">
        <x:v>2</x:v>
      </x:c>
      <x:c r="F720" t="n">
        <x:v>2</x:v>
      </x:c>
      <x:c r="G720" t="n">
        <x:f>F720-E720</x:f>
        <x:v>0</x:v>
      </x:c>
      <x:c r="H720" s="2" t="n">
        <x:f>IFERROR(E720/F720,0)</x:f>
        <x:v>1</x:v>
      </x:c>
      <x:c r="I720" t="str">
        <x:v>Adequado</x:v>
      </x:c>
      <x:c r="J720" t="str">
        <x:v>CAEd_DadosExportados (2).zip</x:v>
      </x:c>
    </x:row>
    <x:row r="721">
      <x:c r="A721" t="str">
        <x:v>2A014</x:v>
      </x:c>
      <x:c r="B721" t="str">
        <x:v>2º ano</x:v>
      </x:c>
      <x:c r="C721" t="str">
        <x:v>contraprova</x:v>
      </x:c>
      <x:c r="D721" t="str">
        <x:v>H11</x:v>
      </x:c>
      <x:c r="E721" t="n">
        <x:v>2</x:v>
      </x:c>
      <x:c r="F721" t="n">
        <x:v>2</x:v>
      </x:c>
      <x:c r="G721" t="n">
        <x:f>F721-E721</x:f>
        <x:v>0</x:v>
      </x:c>
      <x:c r="H721" s="2" t="n">
        <x:f>IFERROR(E721/F721,0)</x:f>
        <x:v>1</x:v>
      </x:c>
      <x:c r="I721" t="str">
        <x:v>Adequado</x:v>
      </x:c>
      <x:c r="J721" t="str">
        <x:v>CAEd_DadosExportados (2).zip</x:v>
      </x:c>
    </x:row>
    <x:row r="722">
      <x:c r="A722" t="str">
        <x:v>2A015</x:v>
      </x:c>
      <x:c r="B722" t="str">
        <x:v>2º ano</x:v>
      </x:c>
      <x:c r="C722" t="str">
        <x:v>contraprova</x:v>
      </x:c>
      <x:c r="D722" t="str">
        <x:v>H01</x:v>
      </x:c>
      <x:c r="E722" t="n">
        <x:v>2</x:v>
      </x:c>
      <x:c r="F722" t="n">
        <x:v>2</x:v>
      </x:c>
      <x:c r="G722" t="n">
        <x:f>F722-E722</x:f>
        <x:v>0</x:v>
      </x:c>
      <x:c r="H722" s="2" t="n">
        <x:f>IFERROR(E722/F722,0)</x:f>
        <x:v>1</x:v>
      </x:c>
      <x:c r="I722" t="str">
        <x:v>Adequado</x:v>
      </x:c>
      <x:c r="J722" t="str">
        <x:v>CAEd_DadosExportados (2).zip</x:v>
      </x:c>
    </x:row>
    <x:row r="723">
      <x:c r="A723" t="str">
        <x:v>2A015</x:v>
      </x:c>
      <x:c r="B723" t="str">
        <x:v>2º ano</x:v>
      </x:c>
      <x:c r="C723" t="str">
        <x:v>contraprova</x:v>
      </x:c>
      <x:c r="D723" t="str">
        <x:v>H02</x:v>
      </x:c>
      <x:c r="E723" t="n">
        <x:v>2</x:v>
      </x:c>
      <x:c r="F723" t="n">
        <x:v>2</x:v>
      </x:c>
      <x:c r="G723" t="n">
        <x:f>F723-E723</x:f>
        <x:v>0</x:v>
      </x:c>
      <x:c r="H723" s="2" t="n">
        <x:f>IFERROR(E723/F723,0)</x:f>
        <x:v>1</x:v>
      </x:c>
      <x:c r="I723" t="str">
        <x:v>Adequado</x:v>
      </x:c>
      <x:c r="J723" t="str">
        <x:v>CAEd_DadosExportados (2).zip</x:v>
      </x:c>
    </x:row>
    <x:row r="724">
      <x:c r="A724" t="str">
        <x:v>2A015</x:v>
      </x:c>
      <x:c r="B724" t="str">
        <x:v>2º ano</x:v>
      </x:c>
      <x:c r="C724" t="str">
        <x:v>contraprova</x:v>
      </x:c>
      <x:c r="D724" t="str">
        <x:v>H03</x:v>
      </x:c>
      <x:c r="E724" t="n">
        <x:v>1</x:v>
      </x:c>
      <x:c r="F724" t="n">
        <x:v>2</x:v>
      </x:c>
      <x:c r="G724" t="n">
        <x:f>F724-E724</x:f>
        <x:v>1</x:v>
      </x:c>
      <x:c r="H724" s="2" t="n">
        <x:f>IFERROR(E724/F724,0)</x:f>
        <x:v>0.5</x:v>
      </x:c>
      <x:c r="I724" t="str">
        <x:v>Adequado</x:v>
      </x:c>
      <x:c r="J724" t="str">
        <x:v>CAEd_DadosExportados (2).zip</x:v>
      </x:c>
    </x:row>
    <x:row r="725">
      <x:c r="A725" t="str">
        <x:v>2A015</x:v>
      </x:c>
      <x:c r="B725" t="str">
        <x:v>2º ano</x:v>
      </x:c>
      <x:c r="C725" t="str">
        <x:v>contraprova</x:v>
      </x:c>
      <x:c r="D725" t="str">
        <x:v>H04</x:v>
      </x:c>
      <x:c r="E725" t="n">
        <x:v>2</x:v>
      </x:c>
      <x:c r="F725" t="n">
        <x:v>2</x:v>
      </x:c>
      <x:c r="G725" t="n">
        <x:f>F725-E725</x:f>
        <x:v>0</x:v>
      </x:c>
      <x:c r="H725" s="2" t="n">
        <x:f>IFERROR(E725/F725,0)</x:f>
        <x:v>1</x:v>
      </x:c>
      <x:c r="I725" t="str">
        <x:v>Adequado</x:v>
      </x:c>
      <x:c r="J725" t="str">
        <x:v>CAEd_DadosExportados (2).zip</x:v>
      </x:c>
    </x:row>
    <x:row r="726">
      <x:c r="A726" t="str">
        <x:v>2A015</x:v>
      </x:c>
      <x:c r="B726" t="str">
        <x:v>2º ano</x:v>
      </x:c>
      <x:c r="C726" t="str">
        <x:v>contraprova</x:v>
      </x:c>
      <x:c r="D726" t="str">
        <x:v>H05</x:v>
      </x:c>
      <x:c r="E726" t="n">
        <x:v>2</x:v>
      </x:c>
      <x:c r="F726" t="n">
        <x:v>2</x:v>
      </x:c>
      <x:c r="G726" t="n">
        <x:f>F726-E726</x:f>
        <x:v>0</x:v>
      </x:c>
      <x:c r="H726" s="2" t="n">
        <x:f>IFERROR(E726/F726,0)</x:f>
        <x:v>1</x:v>
      </x:c>
      <x:c r="I726" t="str">
        <x:v>Adequado</x:v>
      </x:c>
      <x:c r="J726" t="str">
        <x:v>CAEd_DadosExportados (2).zip</x:v>
      </x:c>
    </x:row>
    <x:row r="727">
      <x:c r="A727" t="str">
        <x:v>2A015</x:v>
      </x:c>
      <x:c r="B727" t="str">
        <x:v>2º ano</x:v>
      </x:c>
      <x:c r="C727" t="str">
        <x:v>contraprova</x:v>
      </x:c>
      <x:c r="D727" t="str">
        <x:v>H06</x:v>
      </x:c>
      <x:c r="E727" t="n">
        <x:v>2</x:v>
      </x:c>
      <x:c r="F727" t="n">
        <x:v>2</x:v>
      </x:c>
      <x:c r="G727" t="n">
        <x:f>F727-E727</x:f>
        <x:v>0</x:v>
      </x:c>
      <x:c r="H727" s="2" t="n">
        <x:f>IFERROR(E727/F727,0)</x:f>
        <x:v>1</x:v>
      </x:c>
      <x:c r="I727" t="str">
        <x:v>Adequado</x:v>
      </x:c>
      <x:c r="J727" t="str">
        <x:v>CAEd_DadosExportados (2).zip</x:v>
      </x:c>
    </x:row>
    <x:row r="728">
      <x:c r="A728" t="str">
        <x:v>2A015</x:v>
      </x:c>
      <x:c r="B728" t="str">
        <x:v>2º ano</x:v>
      </x:c>
      <x:c r="C728" t="str">
        <x:v>contraprova</x:v>
      </x:c>
      <x:c r="D728" t="str">
        <x:v>H07</x:v>
      </x:c>
      <x:c r="E728" t="n">
        <x:v>1</x:v>
      </x:c>
      <x:c r="F728" t="n">
        <x:v>2</x:v>
      </x:c>
      <x:c r="G728" t="n">
        <x:f>F728-E728</x:f>
        <x:v>1</x:v>
      </x:c>
      <x:c r="H728" s="2" t="n">
        <x:f>IFERROR(E728/F728,0)</x:f>
        <x:v>0.5</x:v>
      </x:c>
      <x:c r="I728" t="str">
        <x:v>Adequado</x:v>
      </x:c>
      <x:c r="J728" t="str">
        <x:v>CAEd_DadosExportados (2).zip</x:v>
      </x:c>
    </x:row>
    <x:row r="729">
      <x:c r="A729" t="str">
        <x:v>2A015</x:v>
      </x:c>
      <x:c r="B729" t="str">
        <x:v>2º ano</x:v>
      </x:c>
      <x:c r="C729" t="str">
        <x:v>contraprova</x:v>
      </x:c>
      <x:c r="D729" t="str">
        <x:v>H08</x:v>
      </x:c>
      <x:c r="E729" t="n">
        <x:v>1</x:v>
      </x:c>
      <x:c r="F729" t="n">
        <x:v>2</x:v>
      </x:c>
      <x:c r="G729" t="n">
        <x:f>F729-E729</x:f>
        <x:v>1</x:v>
      </x:c>
      <x:c r="H729" s="2" t="n">
        <x:f>IFERROR(E729/F729,0)</x:f>
        <x:v>0.5</x:v>
      </x:c>
      <x:c r="I729" t="str">
        <x:v>Adequado</x:v>
      </x:c>
      <x:c r="J729" t="str">
        <x:v>CAEd_DadosExportados (2).zip</x:v>
      </x:c>
    </x:row>
    <x:row r="730">
      <x:c r="A730" t="str">
        <x:v>2A015</x:v>
      </x:c>
      <x:c r="B730" t="str">
        <x:v>2º ano</x:v>
      </x:c>
      <x:c r="C730" t="str">
        <x:v>contraprova</x:v>
      </x:c>
      <x:c r="D730" t="str">
        <x:v>H09</x:v>
      </x:c>
      <x:c r="E730" t="n">
        <x:v>2</x:v>
      </x:c>
      <x:c r="F730" t="n">
        <x:v>2</x:v>
      </x:c>
      <x:c r="G730" t="n">
        <x:f>F730-E730</x:f>
        <x:v>0</x:v>
      </x:c>
      <x:c r="H730" s="2" t="n">
        <x:f>IFERROR(E730/F730,0)</x:f>
        <x:v>1</x:v>
      </x:c>
      <x:c r="I730" t="str">
        <x:v>Adequado</x:v>
      </x:c>
      <x:c r="J730" t="str">
        <x:v>CAEd_DadosExportados (2).zip</x:v>
      </x:c>
    </x:row>
    <x:row r="731">
      <x:c r="A731" t="str">
        <x:v>2A015</x:v>
      </x:c>
      <x:c r="B731" t="str">
        <x:v>2º ano</x:v>
      </x:c>
      <x:c r="C731" t="str">
        <x:v>contraprova</x:v>
      </x:c>
      <x:c r="D731" t="str">
        <x:v>H10</x:v>
      </x:c>
      <x:c r="E731" t="n">
        <x:v>2</x:v>
      </x:c>
      <x:c r="F731" t="n">
        <x:v>2</x:v>
      </x:c>
      <x:c r="G731" t="n">
        <x:f>F731-E731</x:f>
        <x:v>0</x:v>
      </x:c>
      <x:c r="H731" s="2" t="n">
        <x:f>IFERROR(E731/F731,0)</x:f>
        <x:v>1</x:v>
      </x:c>
      <x:c r="I731" t="str">
        <x:v>Adequado</x:v>
      </x:c>
      <x:c r="J731" t="str">
        <x:v>CAEd_DadosExportados (2).zip</x:v>
      </x:c>
    </x:row>
    <x:row r="732">
      <x:c r="A732" t="str">
        <x:v>2A015</x:v>
      </x:c>
      <x:c r="B732" t="str">
        <x:v>2º ano</x:v>
      </x:c>
      <x:c r="C732" t="str">
        <x:v>contraprova</x:v>
      </x:c>
      <x:c r="D732" t="str">
        <x:v>H11</x:v>
      </x:c>
      <x:c r="E732" t="n">
        <x:v>1</x:v>
      </x:c>
      <x:c r="F732" t="n">
        <x:v>2</x:v>
      </x:c>
      <x:c r="G732" t="n">
        <x:f>F732-E732</x:f>
        <x:v>1</x:v>
      </x:c>
      <x:c r="H732" s="2" t="n">
        <x:f>IFERROR(E732/F732,0)</x:f>
        <x:v>0.5</x:v>
      </x:c>
      <x:c r="I732" t="str">
        <x:v>Adequado</x:v>
      </x:c>
      <x:c r="J732" t="str">
        <x:v>CAEd_DadosExportados (2).zip</x:v>
      </x:c>
    </x:row>
    <x:row r="733">
      <x:c r="A733" t="str">
        <x:v>2A015</x:v>
      </x:c>
      <x:c r="B733" t="str">
        <x:v>2º ano</x:v>
      </x:c>
      <x:c r="C733" t="str">
        <x:v>referencia</x:v>
      </x:c>
      <x:c r="D733" t="str">
        <x:v>H01</x:v>
      </x:c>
      <x:c r="E733" t="n">
        <x:v>2</x:v>
      </x:c>
      <x:c r="F733" t="n">
        <x:v>2</x:v>
      </x:c>
      <x:c r="G733" t="n">
        <x:f>F733-E733</x:f>
        <x:v>0</x:v>
      </x:c>
      <x:c r="H733" s="2" t="n">
        <x:f>IFERROR(E733/F733,0)</x:f>
        <x:v>1</x:v>
      </x:c>
      <x:c r="I733" t="str">
        <x:v>Adequado</x:v>
      </x:c>
      <x:c r="J733" t="str">
        <x:v>CAEd_DadosExportados (1).zip</x:v>
      </x:c>
    </x:row>
    <x:row r="734">
      <x:c r="A734" t="str">
        <x:v>2A015</x:v>
      </x:c>
      <x:c r="B734" t="str">
        <x:v>2º ano</x:v>
      </x:c>
      <x:c r="C734" t="str">
        <x:v>referencia</x:v>
      </x:c>
      <x:c r="D734" t="str">
        <x:v>H02</x:v>
      </x:c>
      <x:c r="E734" t="n">
        <x:v>2</x:v>
      </x:c>
      <x:c r="F734" t="n">
        <x:v>2</x:v>
      </x:c>
      <x:c r="G734" t="n">
        <x:f>F734-E734</x:f>
        <x:v>0</x:v>
      </x:c>
      <x:c r="H734" s="2" t="n">
        <x:f>IFERROR(E734/F734,0)</x:f>
        <x:v>1</x:v>
      </x:c>
      <x:c r="I734" t="str">
        <x:v>Adequado</x:v>
      </x:c>
      <x:c r="J734" t="str">
        <x:v>CAEd_DadosExportados (1).zip</x:v>
      </x:c>
    </x:row>
    <x:row r="735">
      <x:c r="A735" t="str">
        <x:v>2A015</x:v>
      </x:c>
      <x:c r="B735" t="str">
        <x:v>2º ano</x:v>
      </x:c>
      <x:c r="C735" t="str">
        <x:v>referencia</x:v>
      </x:c>
      <x:c r="D735" t="str">
        <x:v>H03</x:v>
      </x:c>
      <x:c r="E735" t="n">
        <x:v>2</x:v>
      </x:c>
      <x:c r="F735" t="n">
        <x:v>2</x:v>
      </x:c>
      <x:c r="G735" t="n">
        <x:f>F735-E735</x:f>
        <x:v>0</x:v>
      </x:c>
      <x:c r="H735" s="2" t="n">
        <x:f>IFERROR(E735/F735,0)</x:f>
        <x:v>1</x:v>
      </x:c>
      <x:c r="I735" t="str">
        <x:v>Adequado</x:v>
      </x:c>
      <x:c r="J735" t="str">
        <x:v>CAEd_DadosExportados (1).zip</x:v>
      </x:c>
    </x:row>
    <x:row r="736">
      <x:c r="A736" t="str">
        <x:v>2A015</x:v>
      </x:c>
      <x:c r="B736" t="str">
        <x:v>2º ano</x:v>
      </x:c>
      <x:c r="C736" t="str">
        <x:v>referencia</x:v>
      </x:c>
      <x:c r="D736" t="str">
        <x:v>H04</x:v>
      </x:c>
      <x:c r="E736" t="n">
        <x:v>2</x:v>
      </x:c>
      <x:c r="F736" t="n">
        <x:v>2</x:v>
      </x:c>
      <x:c r="G736" t="n">
        <x:f>F736-E736</x:f>
        <x:v>0</x:v>
      </x:c>
      <x:c r="H736" s="2" t="n">
        <x:f>IFERROR(E736/F736,0)</x:f>
        <x:v>1</x:v>
      </x:c>
      <x:c r="I736" t="str">
        <x:v>Adequado</x:v>
      </x:c>
      <x:c r="J736" t="str">
        <x:v>CAEd_DadosExportados (1).zip</x:v>
      </x:c>
    </x:row>
    <x:row r="737">
      <x:c r="A737" t="str">
        <x:v>2A015</x:v>
      </x:c>
      <x:c r="B737" t="str">
        <x:v>2º ano</x:v>
      </x:c>
      <x:c r="C737" t="str">
        <x:v>referencia</x:v>
      </x:c>
      <x:c r="D737" t="str">
        <x:v>H05</x:v>
      </x:c>
      <x:c r="E737" t="n">
        <x:v>1</x:v>
      </x:c>
      <x:c r="F737" t="n">
        <x:v>1</x:v>
      </x:c>
      <x:c r="G737" t="n">
        <x:f>F737-E737</x:f>
        <x:v>0</x:v>
      </x:c>
      <x:c r="H737" s="2" t="n">
        <x:f>IFERROR(E737/F737,0)</x:f>
        <x:v>1</x:v>
      </x:c>
      <x:c r="I737" t="str">
        <x:v>Adequado</x:v>
      </x:c>
      <x:c r="J737" t="str">
        <x:v>CAEd_DadosExportados (1).zip</x:v>
      </x:c>
    </x:row>
    <x:row r="738">
      <x:c r="A738" t="str">
        <x:v>2A015</x:v>
      </x:c>
      <x:c r="B738" t="str">
        <x:v>2º ano</x:v>
      </x:c>
      <x:c r="C738" t="str">
        <x:v>referencia</x:v>
      </x:c>
      <x:c r="D738" t="str">
        <x:v>H06</x:v>
      </x:c>
      <x:c r="E738" t="n">
        <x:v>2</x:v>
      </x:c>
      <x:c r="F738" t="n">
        <x:v>2</x:v>
      </x:c>
      <x:c r="G738" t="n">
        <x:f>F738-E738</x:f>
        <x:v>0</x:v>
      </x:c>
      <x:c r="H738" s="2" t="n">
        <x:f>IFERROR(E738/F738,0)</x:f>
        <x:v>1</x:v>
      </x:c>
      <x:c r="I738" t="str">
        <x:v>Adequado</x:v>
      </x:c>
      <x:c r="J738" t="str">
        <x:v>CAEd_DadosExportados (1).zip</x:v>
      </x:c>
    </x:row>
    <x:row r="739">
      <x:c r="A739" t="str">
        <x:v>2A015</x:v>
      </x:c>
      <x:c r="B739" t="str">
        <x:v>2º ano</x:v>
      </x:c>
      <x:c r="C739" t="str">
        <x:v>referencia</x:v>
      </x:c>
      <x:c r="D739" t="str">
        <x:v>H07</x:v>
      </x:c>
      <x:c r="E739" t="n">
        <x:v>2</x:v>
      </x:c>
      <x:c r="F739" t="n">
        <x:v>2</x:v>
      </x:c>
      <x:c r="G739" t="n">
        <x:f>F739-E739</x:f>
        <x:v>0</x:v>
      </x:c>
      <x:c r="H739" s="2" t="n">
        <x:f>IFERROR(E739/F739,0)</x:f>
        <x:v>1</x:v>
      </x:c>
      <x:c r="I739" t="str">
        <x:v>Adequado</x:v>
      </x:c>
      <x:c r="J739" t="str">
        <x:v>CAEd_DadosExportados (1).zip</x:v>
      </x:c>
    </x:row>
    <x:row r="740">
      <x:c r="A740" t="str">
        <x:v>2A015</x:v>
      </x:c>
      <x:c r="B740" t="str">
        <x:v>2º ano</x:v>
      </x:c>
      <x:c r="C740" t="str">
        <x:v>referencia</x:v>
      </x:c>
      <x:c r="D740" t="str">
        <x:v>H08</x:v>
      </x:c>
      <x:c r="E740" t="n">
        <x:v>2</x:v>
      </x:c>
      <x:c r="F740" t="n">
        <x:v>2</x:v>
      </x:c>
      <x:c r="G740" t="n">
        <x:f>F740-E740</x:f>
        <x:v>0</x:v>
      </x:c>
      <x:c r="H740" s="2" t="n">
        <x:f>IFERROR(E740/F740,0)</x:f>
        <x:v>1</x:v>
      </x:c>
      <x:c r="I740" t="str">
        <x:v>Adequado</x:v>
      </x:c>
      <x:c r="J740" t="str">
        <x:v>CAEd_DadosExportados (1).zip</x:v>
      </x:c>
    </x:row>
    <x:row r="741">
      <x:c r="A741" t="str">
        <x:v>2A015</x:v>
      </x:c>
      <x:c r="B741" t="str">
        <x:v>2º ano</x:v>
      </x:c>
      <x:c r="C741" t="str">
        <x:v>referencia</x:v>
      </x:c>
      <x:c r="D741" t="str">
        <x:v>H09</x:v>
      </x:c>
      <x:c r="E741" t="n">
        <x:v>2</x:v>
      </x:c>
      <x:c r="F741" t="n">
        <x:v>2</x:v>
      </x:c>
      <x:c r="G741" t="n">
        <x:f>F741-E741</x:f>
        <x:v>0</x:v>
      </x:c>
      <x:c r="H741" s="2" t="n">
        <x:f>IFERROR(E741/F741,0)</x:f>
        <x:v>1</x:v>
      </x:c>
      <x:c r="I741" t="str">
        <x:v>Adequado</x:v>
      </x:c>
      <x:c r="J741" t="str">
        <x:v>CAEd_DadosExportados (1).zip</x:v>
      </x:c>
    </x:row>
    <x:row r="742">
      <x:c r="A742" t="str">
        <x:v>2A015</x:v>
      </x:c>
      <x:c r="B742" t="str">
        <x:v>2º ano</x:v>
      </x:c>
      <x:c r="C742" t="str">
        <x:v>referencia</x:v>
      </x:c>
      <x:c r="D742" t="str">
        <x:v>H10</x:v>
      </x:c>
      <x:c r="E742" t="n">
        <x:v>1</x:v>
      </x:c>
      <x:c r="F742" t="n">
        <x:v>1</x:v>
      </x:c>
      <x:c r="G742" t="n">
        <x:f>F742-E742</x:f>
        <x:v>0</x:v>
      </x:c>
      <x:c r="H742" s="2" t="n">
        <x:f>IFERROR(E742/F742,0)</x:f>
        <x:v>1</x:v>
      </x:c>
      <x:c r="I742" t="str">
        <x:v>Adequado</x:v>
      </x:c>
      <x:c r="J742" t="str">
        <x:v>CAEd_DadosExportados (1).zip</x:v>
      </x:c>
    </x:row>
    <x:row r="743">
      <x:c r="A743" t="str">
        <x:v>2A015</x:v>
      </x:c>
      <x:c r="B743" t="str">
        <x:v>2º ano</x:v>
      </x:c>
      <x:c r="C743" t="str">
        <x:v>referencia</x:v>
      </x:c>
      <x:c r="D743" t="str">
        <x:v>H11</x:v>
      </x:c>
      <x:c r="E743" t="n">
        <x:v>2</x:v>
      </x:c>
      <x:c r="F743" t="n">
        <x:v>2</x:v>
      </x:c>
      <x:c r="G743" t="n">
        <x:f>F743-E743</x:f>
        <x:v>0</x:v>
      </x:c>
      <x:c r="H743" s="2" t="n">
        <x:f>IFERROR(E743/F743,0)</x:f>
        <x:v>1</x:v>
      </x:c>
      <x:c r="I743" t="str">
        <x:v>Adequado</x:v>
      </x:c>
      <x:c r="J743" t="str">
        <x:v>CAEd_DadosExportados (1).zip</x:v>
      </x:c>
    </x:row>
    <x:row r="744">
      <x:c r="A744" t="str">
        <x:v>2A015</x:v>
      </x:c>
      <x:c r="B744" t="str">
        <x:v>2º ano</x:v>
      </x:c>
      <x:c r="C744" t="str">
        <x:v>referencia</x:v>
      </x:c>
      <x:c r="D744" t="str">
        <x:v>H12</x:v>
      </x:c>
      <x:c r="E744" t="n">
        <x:v>1</x:v>
      </x:c>
      <x:c r="F744" t="n">
        <x:v>1</x:v>
      </x:c>
      <x:c r="G744" t="n">
        <x:f>F744-E744</x:f>
        <x:v>0</x:v>
      </x:c>
      <x:c r="H744" s="2" t="n">
        <x:f>IFERROR(E744/F744,0)</x:f>
        <x:v>1</x:v>
      </x:c>
      <x:c r="I744" t="str">
        <x:v>Adequado</x:v>
      </x:c>
      <x:c r="J744" t="str">
        <x:v>CAEd_DadosExportados (1).zip</x:v>
      </x:c>
    </x:row>
    <x:row r="745">
      <x:c r="A745" t="str">
        <x:v>2A015</x:v>
      </x:c>
      <x:c r="B745" t="str">
        <x:v>2º ano</x:v>
      </x:c>
      <x:c r="C745" t="str">
        <x:v>referencia</x:v>
      </x:c>
      <x:c r="D745" t="str">
        <x:v>H13</x:v>
      </x:c>
      <x:c r="E745" t="n">
        <x:v>1</x:v>
      </x:c>
      <x:c r="F745" t="n">
        <x:v>1</x:v>
      </x:c>
      <x:c r="G745" t="n">
        <x:f>F745-E745</x:f>
        <x:v>0</x:v>
      </x:c>
      <x:c r="H745" s="2" t="n">
        <x:f>IFERROR(E745/F745,0)</x:f>
        <x:v>1</x:v>
      </x:c>
      <x:c r="I745" t="str">
        <x:v>Adequado</x:v>
      </x:c>
      <x:c r="J745" t="str">
        <x:v>CAEd_DadosExportados (1).zip</x:v>
      </x:c>
    </x:row>
    <x:row r="746">
      <x:c r="A746" t="str">
        <x:v>2A016</x:v>
      </x:c>
      <x:c r="B746" t="str">
        <x:v>2º ano</x:v>
      </x:c>
      <x:c r="C746" t="str">
        <x:v>contraprova</x:v>
      </x:c>
      <x:c r="D746" t="str">
        <x:v>H01</x:v>
      </x:c>
      <x:c r="E746" t="n">
        <x:v>0</x:v>
      </x:c>
      <x:c r="F746" t="n">
        <x:v>2</x:v>
      </x:c>
      <x:c r="G746" t="n">
        <x:f>F746-E746</x:f>
        <x:v>2</x:v>
      </x:c>
      <x:c r="H746" s="2" t="n">
        <x:f>IFERROR(E746/F746,0)</x:f>
        <x:v>0</x:v>
      </x:c>
      <x:c r="I746" t="str">
        <x:v>Defasagem</x:v>
      </x:c>
      <x:c r="J746" t="str">
        <x:v>CAEd_DadosExportados (2).zip</x:v>
      </x:c>
    </x:row>
    <x:row r="747">
      <x:c r="A747" t="str">
        <x:v>2A016</x:v>
      </x:c>
      <x:c r="B747" t="str">
        <x:v>2º ano</x:v>
      </x:c>
      <x:c r="C747" t="str">
        <x:v>contraprova</x:v>
      </x:c>
      <x:c r="D747" t="str">
        <x:v>H02</x:v>
      </x:c>
      <x:c r="E747" t="n">
        <x:v>1</x:v>
      </x:c>
      <x:c r="F747" t="n">
        <x:v>2</x:v>
      </x:c>
      <x:c r="G747" t="n">
        <x:f>F747-E747</x:f>
        <x:v>1</x:v>
      </x:c>
      <x:c r="H747" s="2" t="n">
        <x:f>IFERROR(E747/F747,0)</x:f>
        <x:v>0.5</x:v>
      </x:c>
      <x:c r="I747" t="str">
        <x:v>Defasagem</x:v>
      </x:c>
      <x:c r="J747" t="str">
        <x:v>CAEd_DadosExportados (2).zip</x:v>
      </x:c>
    </x:row>
    <x:row r="748">
      <x:c r="A748" t="str">
        <x:v>2A016</x:v>
      </x:c>
      <x:c r="B748" t="str">
        <x:v>2º ano</x:v>
      </x:c>
      <x:c r="C748" t="str">
        <x:v>contraprova</x:v>
      </x:c>
      <x:c r="D748" t="str">
        <x:v>H03</x:v>
      </x:c>
      <x:c r="E748" t="n">
        <x:v>2</x:v>
      </x:c>
      <x:c r="F748" t="n">
        <x:v>2</x:v>
      </x:c>
      <x:c r="G748" t="n">
        <x:f>F748-E748</x:f>
        <x:v>0</x:v>
      </x:c>
      <x:c r="H748" s="2" t="n">
        <x:f>IFERROR(E748/F748,0)</x:f>
        <x:v>1</x:v>
      </x:c>
      <x:c r="I748" t="str">
        <x:v>Defasagem</x:v>
      </x:c>
      <x:c r="J748" t="str">
        <x:v>CAEd_DadosExportados (2).zip</x:v>
      </x:c>
    </x:row>
    <x:row r="749">
      <x:c r="A749" t="str">
        <x:v>2A016</x:v>
      </x:c>
      <x:c r="B749" t="str">
        <x:v>2º ano</x:v>
      </x:c>
      <x:c r="C749" t="str">
        <x:v>contraprova</x:v>
      </x:c>
      <x:c r="D749" t="str">
        <x:v>H04</x:v>
      </x:c>
      <x:c r="E749" t="n">
        <x:v>2</x:v>
      </x:c>
      <x:c r="F749" t="n">
        <x:v>2</x:v>
      </x:c>
      <x:c r="G749" t="n">
        <x:f>F749-E749</x:f>
        <x:v>0</x:v>
      </x:c>
      <x:c r="H749" s="2" t="n">
        <x:f>IFERROR(E749/F749,0)</x:f>
        <x:v>1</x:v>
      </x:c>
      <x:c r="I749" t="str">
        <x:v>Defasagem</x:v>
      </x:c>
      <x:c r="J749" t="str">
        <x:v>CAEd_DadosExportados (2).zip</x:v>
      </x:c>
    </x:row>
    <x:row r="750">
      <x:c r="A750" t="str">
        <x:v>2A016</x:v>
      </x:c>
      <x:c r="B750" t="str">
        <x:v>2º ano</x:v>
      </x:c>
      <x:c r="C750" t="str">
        <x:v>contraprova</x:v>
      </x:c>
      <x:c r="D750" t="str">
        <x:v>H05</x:v>
      </x:c>
      <x:c r="E750" t="n">
        <x:v>1</x:v>
      </x:c>
      <x:c r="F750" t="n">
        <x:v>2</x:v>
      </x:c>
      <x:c r="G750" t="n">
        <x:f>F750-E750</x:f>
        <x:v>1</x:v>
      </x:c>
      <x:c r="H750" s="2" t="n">
        <x:f>IFERROR(E750/F750,0)</x:f>
        <x:v>0.5</x:v>
      </x:c>
      <x:c r="I750" t="str">
        <x:v>Defasagem</x:v>
      </x:c>
      <x:c r="J750" t="str">
        <x:v>CAEd_DadosExportados (2).zip</x:v>
      </x:c>
    </x:row>
    <x:row r="751">
      <x:c r="A751" t="str">
        <x:v>2A016</x:v>
      </x:c>
      <x:c r="B751" t="str">
        <x:v>2º ano</x:v>
      </x:c>
      <x:c r="C751" t="str">
        <x:v>contraprova</x:v>
      </x:c>
      <x:c r="D751" t="str">
        <x:v>H06</x:v>
      </x:c>
      <x:c r="E751" t="n">
        <x:v>0</x:v>
      </x:c>
      <x:c r="F751" t="n">
        <x:v>2</x:v>
      </x:c>
      <x:c r="G751" t="n">
        <x:f>F751-E751</x:f>
        <x:v>2</x:v>
      </x:c>
      <x:c r="H751" s="2" t="n">
        <x:f>IFERROR(E751/F751,0)</x:f>
        <x:v>0</x:v>
      </x:c>
      <x:c r="I751" t="str">
        <x:v>Defasagem</x:v>
      </x:c>
      <x:c r="J751" t="str">
        <x:v>CAEd_DadosExportados (2).zip</x:v>
      </x:c>
    </x:row>
    <x:row r="752">
      <x:c r="A752" t="str">
        <x:v>2A016</x:v>
      </x:c>
      <x:c r="B752" t="str">
        <x:v>2º ano</x:v>
      </x:c>
      <x:c r="C752" t="str">
        <x:v>contraprova</x:v>
      </x:c>
      <x:c r="D752" t="str">
        <x:v>H07</x:v>
      </x:c>
      <x:c r="E752" t="n">
        <x:v>0</x:v>
      </x:c>
      <x:c r="F752" t="n">
        <x:v>2</x:v>
      </x:c>
      <x:c r="G752" t="n">
        <x:f>F752-E752</x:f>
        <x:v>2</x:v>
      </x:c>
      <x:c r="H752" s="2" t="n">
        <x:f>IFERROR(E752/F752,0)</x:f>
        <x:v>0</x:v>
      </x:c>
      <x:c r="I752" t="str">
        <x:v>Defasagem</x:v>
      </x:c>
      <x:c r="J752" t="str">
        <x:v>CAEd_DadosExportados (2).zip</x:v>
      </x:c>
    </x:row>
    <x:row r="753">
      <x:c r="A753" t="str">
        <x:v>2A016</x:v>
      </x:c>
      <x:c r="B753" t="str">
        <x:v>2º ano</x:v>
      </x:c>
      <x:c r="C753" t="str">
        <x:v>contraprova</x:v>
      </x:c>
      <x:c r="D753" t="str">
        <x:v>H08</x:v>
      </x:c>
      <x:c r="E753" t="n">
        <x:v>1</x:v>
      </x:c>
      <x:c r="F753" t="n">
        <x:v>2</x:v>
      </x:c>
      <x:c r="G753" t="n">
        <x:f>F753-E753</x:f>
        <x:v>1</x:v>
      </x:c>
      <x:c r="H753" s="2" t="n">
        <x:f>IFERROR(E753/F753,0)</x:f>
        <x:v>0.5</x:v>
      </x:c>
      <x:c r="I753" t="str">
        <x:v>Defasagem</x:v>
      </x:c>
      <x:c r="J753" t="str">
        <x:v>CAEd_DadosExportados (2).zip</x:v>
      </x:c>
    </x:row>
    <x:row r="754">
      <x:c r="A754" t="str">
        <x:v>2A016</x:v>
      </x:c>
      <x:c r="B754" t="str">
        <x:v>2º ano</x:v>
      </x:c>
      <x:c r="C754" t="str">
        <x:v>contraprova</x:v>
      </x:c>
      <x:c r="D754" t="str">
        <x:v>H09</x:v>
      </x:c>
      <x:c r="E754" t="n">
        <x:v>2</x:v>
      </x:c>
      <x:c r="F754" t="n">
        <x:v>2</x:v>
      </x:c>
      <x:c r="G754" t="n">
        <x:f>F754-E754</x:f>
        <x:v>0</x:v>
      </x:c>
      <x:c r="H754" s="2" t="n">
        <x:f>IFERROR(E754/F754,0)</x:f>
        <x:v>1</x:v>
      </x:c>
      <x:c r="I754" t="str">
        <x:v>Defasagem</x:v>
      </x:c>
      <x:c r="J754" t="str">
        <x:v>CAEd_DadosExportados (2).zip</x:v>
      </x:c>
    </x:row>
    <x:row r="755">
      <x:c r="A755" t="str">
        <x:v>2A016</x:v>
      </x:c>
      <x:c r="B755" t="str">
        <x:v>2º ano</x:v>
      </x:c>
      <x:c r="C755" t="str">
        <x:v>contraprova</x:v>
      </x:c>
      <x:c r="D755" t="str">
        <x:v>H10</x:v>
      </x:c>
      <x:c r="E755" t="n">
        <x:v>0</x:v>
      </x:c>
      <x:c r="F755" t="n">
        <x:v>2</x:v>
      </x:c>
      <x:c r="G755" t="n">
        <x:f>F755-E755</x:f>
        <x:v>2</x:v>
      </x:c>
      <x:c r="H755" s="2" t="n">
        <x:f>IFERROR(E755/F755,0)</x:f>
        <x:v>0</x:v>
      </x:c>
      <x:c r="I755" t="str">
        <x:v>Defasagem</x:v>
      </x:c>
      <x:c r="J755" t="str">
        <x:v>CAEd_DadosExportados (2).zip</x:v>
      </x:c>
    </x:row>
    <x:row r="756">
      <x:c r="A756" t="str">
        <x:v>2A016</x:v>
      </x:c>
      <x:c r="B756" t="str">
        <x:v>2º ano</x:v>
      </x:c>
      <x:c r="C756" t="str">
        <x:v>contraprova</x:v>
      </x:c>
      <x:c r="D756" t="str">
        <x:v>H11</x:v>
      </x:c>
      <x:c r="E756" t="n">
        <x:v>1</x:v>
      </x:c>
      <x:c r="F756" t="n">
        <x:v>2</x:v>
      </x:c>
      <x:c r="G756" t="n">
        <x:f>F756-E756</x:f>
        <x:v>1</x:v>
      </x:c>
      <x:c r="H756" s="2" t="n">
        <x:f>IFERROR(E756/F756,0)</x:f>
        <x:v>0.5</x:v>
      </x:c>
      <x:c r="I756" t="str">
        <x:v>Defasagem</x:v>
      </x:c>
      <x:c r="J756" t="str">
        <x:v>CAEd_DadosExportados (2).zip</x:v>
      </x:c>
    </x:row>
    <x:row r="757">
      <x:c r="A757" t="str">
        <x:v>2A016</x:v>
      </x:c>
      <x:c r="B757" t="str">
        <x:v>2º ano</x:v>
      </x:c>
      <x:c r="C757" t="str">
        <x:v>referencia</x:v>
      </x:c>
      <x:c r="D757" t="str">
        <x:v>H01</x:v>
      </x:c>
      <x:c r="E757" t="n">
        <x:v>2</x:v>
      </x:c>
      <x:c r="F757" t="n">
        <x:v>2</x:v>
      </x:c>
      <x:c r="G757" t="n">
        <x:f>F757-E757</x:f>
        <x:v>0</x:v>
      </x:c>
      <x:c r="H757" s="2" t="n">
        <x:f>IFERROR(E757/F757,0)</x:f>
        <x:v>1</x:v>
      </x:c>
      <x:c r="I757" t="str">
        <x:v>Adequado</x:v>
      </x:c>
      <x:c r="J757" t="str">
        <x:v>CAEd_DadosExportados (1).zip</x:v>
      </x:c>
    </x:row>
    <x:row r="758">
      <x:c r="A758" t="str">
        <x:v>2A016</x:v>
      </x:c>
      <x:c r="B758" t="str">
        <x:v>2º ano</x:v>
      </x:c>
      <x:c r="C758" t="str">
        <x:v>referencia</x:v>
      </x:c>
      <x:c r="D758" t="str">
        <x:v>H02</x:v>
      </x:c>
      <x:c r="E758" t="n">
        <x:v>2</x:v>
      </x:c>
      <x:c r="F758" t="n">
        <x:v>2</x:v>
      </x:c>
      <x:c r="G758" t="n">
        <x:f>F758-E758</x:f>
        <x:v>0</x:v>
      </x:c>
      <x:c r="H758" s="2" t="n">
        <x:f>IFERROR(E758/F758,0)</x:f>
        <x:v>1</x:v>
      </x:c>
      <x:c r="I758" t="str">
        <x:v>Adequado</x:v>
      </x:c>
      <x:c r="J758" t="str">
        <x:v>CAEd_DadosExportados (1).zip</x:v>
      </x:c>
    </x:row>
    <x:row r="759">
      <x:c r="A759" t="str">
        <x:v>2A016</x:v>
      </x:c>
      <x:c r="B759" t="str">
        <x:v>2º ano</x:v>
      </x:c>
      <x:c r="C759" t="str">
        <x:v>referencia</x:v>
      </x:c>
      <x:c r="D759" t="str">
        <x:v>H03</x:v>
      </x:c>
      <x:c r="E759" t="n">
        <x:v>2</x:v>
      </x:c>
      <x:c r="F759" t="n">
        <x:v>2</x:v>
      </x:c>
      <x:c r="G759" t="n">
        <x:f>F759-E759</x:f>
        <x:v>0</x:v>
      </x:c>
      <x:c r="H759" s="2" t="n">
        <x:f>IFERROR(E759/F759,0)</x:f>
        <x:v>1</x:v>
      </x:c>
      <x:c r="I759" t="str">
        <x:v>Adequado</x:v>
      </x:c>
      <x:c r="J759" t="str">
        <x:v>CAEd_DadosExportados (1).zip</x:v>
      </x:c>
    </x:row>
    <x:row r="760">
      <x:c r="A760" t="str">
        <x:v>2A016</x:v>
      </x:c>
      <x:c r="B760" t="str">
        <x:v>2º ano</x:v>
      </x:c>
      <x:c r="C760" t="str">
        <x:v>referencia</x:v>
      </x:c>
      <x:c r="D760" t="str">
        <x:v>H04</x:v>
      </x:c>
      <x:c r="E760" t="n">
        <x:v>2</x:v>
      </x:c>
      <x:c r="F760" t="n">
        <x:v>2</x:v>
      </x:c>
      <x:c r="G760" t="n">
        <x:f>F760-E760</x:f>
        <x:v>0</x:v>
      </x:c>
      <x:c r="H760" s="2" t="n">
        <x:f>IFERROR(E760/F760,0)</x:f>
        <x:v>1</x:v>
      </x:c>
      <x:c r="I760" t="str">
        <x:v>Adequado</x:v>
      </x:c>
      <x:c r="J760" t="str">
        <x:v>CAEd_DadosExportados (1).zip</x:v>
      </x:c>
    </x:row>
    <x:row r="761">
      <x:c r="A761" t="str">
        <x:v>2A016</x:v>
      </x:c>
      <x:c r="B761" t="str">
        <x:v>2º ano</x:v>
      </x:c>
      <x:c r="C761" t="str">
        <x:v>referencia</x:v>
      </x:c>
      <x:c r="D761" t="str">
        <x:v>H05</x:v>
      </x:c>
      <x:c r="E761" t="n">
        <x:v>1</x:v>
      </x:c>
      <x:c r="F761" t="n">
        <x:v>1</x:v>
      </x:c>
      <x:c r="G761" t="n">
        <x:f>F761-E761</x:f>
        <x:v>0</x:v>
      </x:c>
      <x:c r="H761" s="2" t="n">
        <x:f>IFERROR(E761/F761,0)</x:f>
        <x:v>1</x:v>
      </x:c>
      <x:c r="I761" t="str">
        <x:v>Adequado</x:v>
      </x:c>
      <x:c r="J761" t="str">
        <x:v>CAEd_DadosExportados (1).zip</x:v>
      </x:c>
    </x:row>
    <x:row r="762">
      <x:c r="A762" t="str">
        <x:v>2A016</x:v>
      </x:c>
      <x:c r="B762" t="str">
        <x:v>2º ano</x:v>
      </x:c>
      <x:c r="C762" t="str">
        <x:v>referencia</x:v>
      </x:c>
      <x:c r="D762" t="str">
        <x:v>H06</x:v>
      </x:c>
      <x:c r="E762" t="n">
        <x:v>2</x:v>
      </x:c>
      <x:c r="F762" t="n">
        <x:v>2</x:v>
      </x:c>
      <x:c r="G762" t="n">
        <x:f>F762-E762</x:f>
        <x:v>0</x:v>
      </x:c>
      <x:c r="H762" s="2" t="n">
        <x:f>IFERROR(E762/F762,0)</x:f>
        <x:v>1</x:v>
      </x:c>
      <x:c r="I762" t="str">
        <x:v>Adequado</x:v>
      </x:c>
      <x:c r="J762" t="str">
        <x:v>CAEd_DadosExportados (1).zip</x:v>
      </x:c>
    </x:row>
    <x:row r="763">
      <x:c r="A763" t="str">
        <x:v>2A016</x:v>
      </x:c>
      <x:c r="B763" t="str">
        <x:v>2º ano</x:v>
      </x:c>
      <x:c r="C763" t="str">
        <x:v>referencia</x:v>
      </x:c>
      <x:c r="D763" t="str">
        <x:v>H07</x:v>
      </x:c>
      <x:c r="E763" t="n">
        <x:v>2</x:v>
      </x:c>
      <x:c r="F763" t="n">
        <x:v>2</x:v>
      </x:c>
      <x:c r="G763" t="n">
        <x:f>F763-E763</x:f>
        <x:v>0</x:v>
      </x:c>
      <x:c r="H763" s="2" t="n">
        <x:f>IFERROR(E763/F763,0)</x:f>
        <x:v>1</x:v>
      </x:c>
      <x:c r="I763" t="str">
        <x:v>Adequado</x:v>
      </x:c>
      <x:c r="J763" t="str">
        <x:v>CAEd_DadosExportados (1).zip</x:v>
      </x:c>
    </x:row>
    <x:row r="764">
      <x:c r="A764" t="str">
        <x:v>2A016</x:v>
      </x:c>
      <x:c r="B764" t="str">
        <x:v>2º ano</x:v>
      </x:c>
      <x:c r="C764" t="str">
        <x:v>referencia</x:v>
      </x:c>
      <x:c r="D764" t="str">
        <x:v>H08</x:v>
      </x:c>
      <x:c r="E764" t="n">
        <x:v>2</x:v>
      </x:c>
      <x:c r="F764" t="n">
        <x:v>2</x:v>
      </x:c>
      <x:c r="G764" t="n">
        <x:f>F764-E764</x:f>
        <x:v>0</x:v>
      </x:c>
      <x:c r="H764" s="2" t="n">
        <x:f>IFERROR(E764/F764,0)</x:f>
        <x:v>1</x:v>
      </x:c>
      <x:c r="I764" t="str">
        <x:v>Adequado</x:v>
      </x:c>
      <x:c r="J764" t="str">
        <x:v>CAEd_DadosExportados (1).zip</x:v>
      </x:c>
    </x:row>
    <x:row r="765">
      <x:c r="A765" t="str">
        <x:v>2A016</x:v>
      </x:c>
      <x:c r="B765" t="str">
        <x:v>2º ano</x:v>
      </x:c>
      <x:c r="C765" t="str">
        <x:v>referencia</x:v>
      </x:c>
      <x:c r="D765" t="str">
        <x:v>H09</x:v>
      </x:c>
      <x:c r="E765" t="n">
        <x:v>2</x:v>
      </x:c>
      <x:c r="F765" t="n">
        <x:v>2</x:v>
      </x:c>
      <x:c r="G765" t="n">
        <x:f>F765-E765</x:f>
        <x:v>0</x:v>
      </x:c>
      <x:c r="H765" s="2" t="n">
        <x:f>IFERROR(E765/F765,0)</x:f>
        <x:v>1</x:v>
      </x:c>
      <x:c r="I765" t="str">
        <x:v>Adequado</x:v>
      </x:c>
      <x:c r="J765" t="str">
        <x:v>CAEd_DadosExportados (1).zip</x:v>
      </x:c>
    </x:row>
    <x:row r="766">
      <x:c r="A766" t="str">
        <x:v>2A016</x:v>
      </x:c>
      <x:c r="B766" t="str">
        <x:v>2º ano</x:v>
      </x:c>
      <x:c r="C766" t="str">
        <x:v>referencia</x:v>
      </x:c>
      <x:c r="D766" t="str">
        <x:v>H10</x:v>
      </x:c>
      <x:c r="E766" t="n">
        <x:v>0</x:v>
      </x:c>
      <x:c r="F766" t="n">
        <x:v>1</x:v>
      </x:c>
      <x:c r="G766" t="n">
        <x:f>F766-E766</x:f>
        <x:v>1</x:v>
      </x:c>
      <x:c r="H766" s="2" t="n">
        <x:f>IFERROR(E766/F766,0)</x:f>
        <x:v>0</x:v>
      </x:c>
      <x:c r="I766" t="str">
        <x:v>Adequado</x:v>
      </x:c>
      <x:c r="J766" t="str">
        <x:v>CAEd_DadosExportados (1).zip</x:v>
      </x:c>
    </x:row>
    <x:row r="767">
      <x:c r="A767" t="str">
        <x:v>2A016</x:v>
      </x:c>
      <x:c r="B767" t="str">
        <x:v>2º ano</x:v>
      </x:c>
      <x:c r="C767" t="str">
        <x:v>referencia</x:v>
      </x:c>
      <x:c r="D767" t="str">
        <x:v>H11</x:v>
      </x:c>
      <x:c r="E767" t="n">
        <x:v>1</x:v>
      </x:c>
      <x:c r="F767" t="n">
        <x:v>2</x:v>
      </x:c>
      <x:c r="G767" t="n">
        <x:f>F767-E767</x:f>
        <x:v>1</x:v>
      </x:c>
      <x:c r="H767" s="2" t="n">
        <x:f>IFERROR(E767/F767,0)</x:f>
        <x:v>0.5</x:v>
      </x:c>
      <x:c r="I767" t="str">
        <x:v>Adequado</x:v>
      </x:c>
      <x:c r="J767" t="str">
        <x:v>CAEd_DadosExportados (1).zip</x:v>
      </x:c>
    </x:row>
    <x:row r="768">
      <x:c r="A768" t="str">
        <x:v>2A016</x:v>
      </x:c>
      <x:c r="B768" t="str">
        <x:v>2º ano</x:v>
      </x:c>
      <x:c r="C768" t="str">
        <x:v>referencia</x:v>
      </x:c>
      <x:c r="D768" t="str">
        <x:v>H12</x:v>
      </x:c>
      <x:c r="E768" t="n">
        <x:v>1</x:v>
      </x:c>
      <x:c r="F768" t="n">
        <x:v>1</x:v>
      </x:c>
      <x:c r="G768" t="n">
        <x:f>F768-E768</x:f>
        <x:v>0</x:v>
      </x:c>
      <x:c r="H768" s="2" t="n">
        <x:f>IFERROR(E768/F768,0)</x:f>
        <x:v>1</x:v>
      </x:c>
      <x:c r="I768" t="str">
        <x:v>Adequado</x:v>
      </x:c>
      <x:c r="J768" t="str">
        <x:v>CAEd_DadosExportados (1).zip</x:v>
      </x:c>
    </x:row>
    <x:row r="769">
      <x:c r="A769" t="str">
        <x:v>2A016</x:v>
      </x:c>
      <x:c r="B769" t="str">
        <x:v>2º ano</x:v>
      </x:c>
      <x:c r="C769" t="str">
        <x:v>referencia</x:v>
      </x:c>
      <x:c r="D769" t="str">
        <x:v>H13</x:v>
      </x:c>
      <x:c r="E769" t="n">
        <x:v>0</x:v>
      </x:c>
      <x:c r="F769" t="n">
        <x:v>1</x:v>
      </x:c>
      <x:c r="G769" t="n">
        <x:f>F769-E769</x:f>
        <x:v>1</x:v>
      </x:c>
      <x:c r="H769" s="2" t="n">
        <x:f>IFERROR(E769/F769,0)</x:f>
        <x:v>0</x:v>
      </x:c>
      <x:c r="I769" t="str">
        <x:v>Adequado</x:v>
      </x:c>
      <x:c r="J769" t="str">
        <x:v>CAEd_DadosExportados (1).zip</x:v>
      </x:c>
    </x:row>
    <x:row r="770">
      <x:c r="A770" t="str">
        <x:v>2A017</x:v>
      </x:c>
      <x:c r="B770" t="str">
        <x:v>2º ano</x:v>
      </x:c>
      <x:c r="C770" t="str">
        <x:v>contraprova</x:v>
      </x:c>
      <x:c r="D770" t="str">
        <x:v>H01</x:v>
      </x:c>
      <x:c r="E770" t="n">
        <x:v>0</x:v>
      </x:c>
      <x:c r="F770" t="n">
        <x:v>2</x:v>
      </x:c>
      <x:c r="G770" t="n">
        <x:f>F770-E770</x:f>
        <x:v>2</x:v>
      </x:c>
      <x:c r="H770" s="2" t="n">
        <x:f>IFERROR(E770/F770,0)</x:f>
        <x:v>0</x:v>
      </x:c>
      <x:c r="I770" t="str">
        <x:v>Defasagem</x:v>
      </x:c>
      <x:c r="J770" t="str">
        <x:v>CAEd_DadosExportados (2).zip</x:v>
      </x:c>
    </x:row>
    <x:row r="771">
      <x:c r="A771" t="str">
        <x:v>2A017</x:v>
      </x:c>
      <x:c r="B771" t="str">
        <x:v>2º ano</x:v>
      </x:c>
      <x:c r="C771" t="str">
        <x:v>contraprova</x:v>
      </x:c>
      <x:c r="D771" t="str">
        <x:v>H02</x:v>
      </x:c>
      <x:c r="E771" t="n">
        <x:v>2</x:v>
      </x:c>
      <x:c r="F771" t="n">
        <x:v>2</x:v>
      </x:c>
      <x:c r="G771" t="n">
        <x:f>F771-E771</x:f>
        <x:v>0</x:v>
      </x:c>
      <x:c r="H771" s="2" t="n">
        <x:f>IFERROR(E771/F771,0)</x:f>
        <x:v>1</x:v>
      </x:c>
      <x:c r="I771" t="str">
        <x:v>Defasagem</x:v>
      </x:c>
      <x:c r="J771" t="str">
        <x:v>CAEd_DadosExportados (2).zip</x:v>
      </x:c>
    </x:row>
    <x:row r="772">
      <x:c r="A772" t="str">
        <x:v>2A017</x:v>
      </x:c>
      <x:c r="B772" t="str">
        <x:v>2º ano</x:v>
      </x:c>
      <x:c r="C772" t="str">
        <x:v>contraprova</x:v>
      </x:c>
      <x:c r="D772" t="str">
        <x:v>H03</x:v>
      </x:c>
      <x:c r="E772" t="n">
        <x:v>1</x:v>
      </x:c>
      <x:c r="F772" t="n">
        <x:v>2</x:v>
      </x:c>
      <x:c r="G772" t="n">
        <x:f>F772-E772</x:f>
        <x:v>1</x:v>
      </x:c>
      <x:c r="H772" s="2" t="n">
        <x:f>IFERROR(E772/F772,0)</x:f>
        <x:v>0.5</x:v>
      </x:c>
      <x:c r="I772" t="str">
        <x:v>Defasagem</x:v>
      </x:c>
      <x:c r="J772" t="str">
        <x:v>CAEd_DadosExportados (2).zip</x:v>
      </x:c>
    </x:row>
    <x:row r="773">
      <x:c r="A773" t="str">
        <x:v>2A017</x:v>
      </x:c>
      <x:c r="B773" t="str">
        <x:v>2º ano</x:v>
      </x:c>
      <x:c r="C773" t="str">
        <x:v>contraprova</x:v>
      </x:c>
      <x:c r="D773" t="str">
        <x:v>H04</x:v>
      </x:c>
      <x:c r="E773" t="n">
        <x:v>2</x:v>
      </x:c>
      <x:c r="F773" t="n">
        <x:v>2</x:v>
      </x:c>
      <x:c r="G773" t="n">
        <x:f>F773-E773</x:f>
        <x:v>0</x:v>
      </x:c>
      <x:c r="H773" s="2" t="n">
        <x:f>IFERROR(E773/F773,0)</x:f>
        <x:v>1</x:v>
      </x:c>
      <x:c r="I773" t="str">
        <x:v>Defasagem</x:v>
      </x:c>
      <x:c r="J773" t="str">
        <x:v>CAEd_DadosExportados (2).zip</x:v>
      </x:c>
    </x:row>
    <x:row r="774">
      <x:c r="A774" t="str">
        <x:v>2A017</x:v>
      </x:c>
      <x:c r="B774" t="str">
        <x:v>2º ano</x:v>
      </x:c>
      <x:c r="C774" t="str">
        <x:v>contraprova</x:v>
      </x:c>
      <x:c r="D774" t="str">
        <x:v>H05</x:v>
      </x:c>
      <x:c r="E774" t="n">
        <x:v>1</x:v>
      </x:c>
      <x:c r="F774" t="n">
        <x:v>2</x:v>
      </x:c>
      <x:c r="G774" t="n">
        <x:f>F774-E774</x:f>
        <x:v>1</x:v>
      </x:c>
      <x:c r="H774" s="2" t="n">
        <x:f>IFERROR(E774/F774,0)</x:f>
        <x:v>0.5</x:v>
      </x:c>
      <x:c r="I774" t="str">
        <x:v>Defasagem</x:v>
      </x:c>
      <x:c r="J774" t="str">
        <x:v>CAEd_DadosExportados (2).zip</x:v>
      </x:c>
    </x:row>
    <x:row r="775">
      <x:c r="A775" t="str">
        <x:v>2A017</x:v>
      </x:c>
      <x:c r="B775" t="str">
        <x:v>2º ano</x:v>
      </x:c>
      <x:c r="C775" t="str">
        <x:v>contraprova</x:v>
      </x:c>
      <x:c r="D775" t="str">
        <x:v>H06</x:v>
      </x:c>
      <x:c r="E775" t="n">
        <x:v>1</x:v>
      </x:c>
      <x:c r="F775" t="n">
        <x:v>2</x:v>
      </x:c>
      <x:c r="G775" t="n">
        <x:f>F775-E775</x:f>
        <x:v>1</x:v>
      </x:c>
      <x:c r="H775" s="2" t="n">
        <x:f>IFERROR(E775/F775,0)</x:f>
        <x:v>0.5</x:v>
      </x:c>
      <x:c r="I775" t="str">
        <x:v>Defasagem</x:v>
      </x:c>
      <x:c r="J775" t="str">
        <x:v>CAEd_DadosExportados (2).zip</x:v>
      </x:c>
    </x:row>
    <x:row r="776">
      <x:c r="A776" t="str">
        <x:v>2A017</x:v>
      </x:c>
      <x:c r="B776" t="str">
        <x:v>2º ano</x:v>
      </x:c>
      <x:c r="C776" t="str">
        <x:v>contraprova</x:v>
      </x:c>
      <x:c r="D776" t="str">
        <x:v>H07</x:v>
      </x:c>
      <x:c r="E776" t="n">
        <x:v>0</x:v>
      </x:c>
      <x:c r="F776" t="n">
        <x:v>2</x:v>
      </x:c>
      <x:c r="G776" t="n">
        <x:f>F776-E776</x:f>
        <x:v>2</x:v>
      </x:c>
      <x:c r="H776" s="2" t="n">
        <x:f>IFERROR(E776/F776,0)</x:f>
        <x:v>0</x:v>
      </x:c>
      <x:c r="I776" t="str">
        <x:v>Defasagem</x:v>
      </x:c>
      <x:c r="J776" t="str">
        <x:v>CAEd_DadosExportados (2).zip</x:v>
      </x:c>
    </x:row>
    <x:row r="777">
      <x:c r="A777" t="str">
        <x:v>2A017</x:v>
      </x:c>
      <x:c r="B777" t="str">
        <x:v>2º ano</x:v>
      </x:c>
      <x:c r="C777" t="str">
        <x:v>contraprova</x:v>
      </x:c>
      <x:c r="D777" t="str">
        <x:v>H08</x:v>
      </x:c>
      <x:c r="E777" t="n">
        <x:v>1</x:v>
      </x:c>
      <x:c r="F777" t="n">
        <x:v>2</x:v>
      </x:c>
      <x:c r="G777" t="n">
        <x:f>F777-E777</x:f>
        <x:v>1</x:v>
      </x:c>
      <x:c r="H777" s="2" t="n">
        <x:f>IFERROR(E777/F777,0)</x:f>
        <x:v>0.5</x:v>
      </x:c>
      <x:c r="I777" t="str">
        <x:v>Defasagem</x:v>
      </x:c>
      <x:c r="J777" t="str">
        <x:v>CAEd_DadosExportados (2).zip</x:v>
      </x:c>
    </x:row>
    <x:row r="778">
      <x:c r="A778" t="str">
        <x:v>2A017</x:v>
      </x:c>
      <x:c r="B778" t="str">
        <x:v>2º ano</x:v>
      </x:c>
      <x:c r="C778" t="str">
        <x:v>contraprova</x:v>
      </x:c>
      <x:c r="D778" t="str">
        <x:v>H09</x:v>
      </x:c>
      <x:c r="E778" t="n">
        <x:v>1</x:v>
      </x:c>
      <x:c r="F778" t="n">
        <x:v>2</x:v>
      </x:c>
      <x:c r="G778" t="n">
        <x:f>F778-E778</x:f>
        <x:v>1</x:v>
      </x:c>
      <x:c r="H778" s="2" t="n">
        <x:f>IFERROR(E778/F778,0)</x:f>
        <x:v>0.5</x:v>
      </x:c>
      <x:c r="I778" t="str">
        <x:v>Defasagem</x:v>
      </x:c>
      <x:c r="J778" t="str">
        <x:v>CAEd_DadosExportados (2).zip</x:v>
      </x:c>
    </x:row>
    <x:row r="779">
      <x:c r="A779" t="str">
        <x:v>2A017</x:v>
      </x:c>
      <x:c r="B779" t="str">
        <x:v>2º ano</x:v>
      </x:c>
      <x:c r="C779" t="str">
        <x:v>contraprova</x:v>
      </x:c>
      <x:c r="D779" t="str">
        <x:v>H10</x:v>
      </x:c>
      <x:c r="E779" t="n">
        <x:v>1</x:v>
      </x:c>
      <x:c r="F779" t="n">
        <x:v>2</x:v>
      </x:c>
      <x:c r="G779" t="n">
        <x:f>F779-E779</x:f>
        <x:v>1</x:v>
      </x:c>
      <x:c r="H779" s="2" t="n">
        <x:f>IFERROR(E779/F779,0)</x:f>
        <x:v>0.5</x:v>
      </x:c>
      <x:c r="I779" t="str">
        <x:v>Defasagem</x:v>
      </x:c>
      <x:c r="J779" t="str">
        <x:v>CAEd_DadosExportados (2).zip</x:v>
      </x:c>
    </x:row>
    <x:row r="780">
      <x:c r="A780" t="str">
        <x:v>2A017</x:v>
      </x:c>
      <x:c r="B780" t="str">
        <x:v>2º ano</x:v>
      </x:c>
      <x:c r="C780" t="str">
        <x:v>contraprova</x:v>
      </x:c>
      <x:c r="D780" t="str">
        <x:v>H11</x:v>
      </x:c>
      <x:c r="E780" t="n">
        <x:v>1</x:v>
      </x:c>
      <x:c r="F780" t="n">
        <x:v>2</x:v>
      </x:c>
      <x:c r="G780" t="n">
        <x:f>F780-E780</x:f>
        <x:v>1</x:v>
      </x:c>
      <x:c r="H780" s="2" t="n">
        <x:f>IFERROR(E780/F780,0)</x:f>
        <x:v>0.5</x:v>
      </x:c>
      <x:c r="I780" t="str">
        <x:v>Defasagem</x:v>
      </x:c>
      <x:c r="J780" t="str">
        <x:v>CAEd_DadosExportados (2).zip</x:v>
      </x:c>
    </x:row>
    <x:row r="781">
      <x:c r="A781" t="str">
        <x:v>2A017</x:v>
      </x:c>
      <x:c r="B781" t="str">
        <x:v>2º ano</x:v>
      </x:c>
      <x:c r="C781" t="str">
        <x:v>referencia</x:v>
      </x:c>
      <x:c r="D781" t="str">
        <x:v>H01</x:v>
      </x:c>
      <x:c r="E781" t="n">
        <x:v>1</x:v>
      </x:c>
      <x:c r="F781" t="n">
        <x:v>2</x:v>
      </x:c>
      <x:c r="G781" t="n">
        <x:f>F781-E781</x:f>
        <x:v>1</x:v>
      </x:c>
      <x:c r="H781" s="2" t="n">
        <x:f>IFERROR(E781/F781,0)</x:f>
        <x:v>0.5</x:v>
      </x:c>
      <x:c r="I781" t="str">
        <x:v>Intermediário</x:v>
      </x:c>
      <x:c r="J781" t="str">
        <x:v>CAEd_DadosExportados (1).zip</x:v>
      </x:c>
    </x:row>
    <x:row r="782">
      <x:c r="A782" t="str">
        <x:v>2A017</x:v>
      </x:c>
      <x:c r="B782" t="str">
        <x:v>2º ano</x:v>
      </x:c>
      <x:c r="C782" t="str">
        <x:v>referencia</x:v>
      </x:c>
      <x:c r="D782" t="str">
        <x:v>H02</x:v>
      </x:c>
      <x:c r="E782" t="n">
        <x:v>1</x:v>
      </x:c>
      <x:c r="F782" t="n">
        <x:v>2</x:v>
      </x:c>
      <x:c r="G782" t="n">
        <x:f>F782-E782</x:f>
        <x:v>1</x:v>
      </x:c>
      <x:c r="H782" s="2" t="n">
        <x:f>IFERROR(E782/F782,0)</x:f>
        <x:v>0.5</x:v>
      </x:c>
      <x:c r="I782" t="str">
        <x:v>Intermediário</x:v>
      </x:c>
      <x:c r="J782" t="str">
        <x:v>CAEd_DadosExportados (1).zip</x:v>
      </x:c>
    </x:row>
    <x:row r="783">
      <x:c r="A783" t="str">
        <x:v>2A017</x:v>
      </x:c>
      <x:c r="B783" t="str">
        <x:v>2º ano</x:v>
      </x:c>
      <x:c r="C783" t="str">
        <x:v>referencia</x:v>
      </x:c>
      <x:c r="D783" t="str">
        <x:v>H03</x:v>
      </x:c>
      <x:c r="E783" t="n">
        <x:v>1</x:v>
      </x:c>
      <x:c r="F783" t="n">
        <x:v>2</x:v>
      </x:c>
      <x:c r="G783" t="n">
        <x:f>F783-E783</x:f>
        <x:v>1</x:v>
      </x:c>
      <x:c r="H783" s="2" t="n">
        <x:f>IFERROR(E783/F783,0)</x:f>
        <x:v>0.5</x:v>
      </x:c>
      <x:c r="I783" t="str">
        <x:v>Intermediário</x:v>
      </x:c>
      <x:c r="J783" t="str">
        <x:v>CAEd_DadosExportados (1).zip</x:v>
      </x:c>
    </x:row>
    <x:row r="784">
      <x:c r="A784" t="str">
        <x:v>2A017</x:v>
      </x:c>
      <x:c r="B784" t="str">
        <x:v>2º ano</x:v>
      </x:c>
      <x:c r="C784" t="str">
        <x:v>referencia</x:v>
      </x:c>
      <x:c r="D784" t="str">
        <x:v>H04</x:v>
      </x:c>
      <x:c r="E784" t="n">
        <x:v>2</x:v>
      </x:c>
      <x:c r="F784" t="n">
        <x:v>2</x:v>
      </x:c>
      <x:c r="G784" t="n">
        <x:f>F784-E784</x:f>
        <x:v>0</x:v>
      </x:c>
      <x:c r="H784" s="2" t="n">
        <x:f>IFERROR(E784/F784,0)</x:f>
        <x:v>1</x:v>
      </x:c>
      <x:c r="I784" t="str">
        <x:v>Intermediário</x:v>
      </x:c>
      <x:c r="J784" t="str">
        <x:v>CAEd_DadosExportados (1).zip</x:v>
      </x:c>
    </x:row>
    <x:row r="785">
      <x:c r="A785" t="str">
        <x:v>2A017</x:v>
      </x:c>
      <x:c r="B785" t="str">
        <x:v>2º ano</x:v>
      </x:c>
      <x:c r="C785" t="str">
        <x:v>referencia</x:v>
      </x:c>
      <x:c r="D785" t="str">
        <x:v>H05</x:v>
      </x:c>
      <x:c r="E785" t="n">
        <x:v>1</x:v>
      </x:c>
      <x:c r="F785" t="n">
        <x:v>1</x:v>
      </x:c>
      <x:c r="G785" t="n">
        <x:f>F785-E785</x:f>
        <x:v>0</x:v>
      </x:c>
      <x:c r="H785" s="2" t="n">
        <x:f>IFERROR(E785/F785,0)</x:f>
        <x:v>1</x:v>
      </x:c>
      <x:c r="I785" t="str">
        <x:v>Intermediário</x:v>
      </x:c>
      <x:c r="J785" t="str">
        <x:v>CAEd_DadosExportados (1).zip</x:v>
      </x:c>
    </x:row>
    <x:row r="786">
      <x:c r="A786" t="str">
        <x:v>2A017</x:v>
      </x:c>
      <x:c r="B786" t="str">
        <x:v>2º ano</x:v>
      </x:c>
      <x:c r="C786" t="str">
        <x:v>referencia</x:v>
      </x:c>
      <x:c r="D786" t="str">
        <x:v>H06</x:v>
      </x:c>
      <x:c r="E786" t="n">
        <x:v>1</x:v>
      </x:c>
      <x:c r="F786" t="n">
        <x:v>2</x:v>
      </x:c>
      <x:c r="G786" t="n">
        <x:f>F786-E786</x:f>
        <x:v>1</x:v>
      </x:c>
      <x:c r="H786" s="2" t="n">
        <x:f>IFERROR(E786/F786,0)</x:f>
        <x:v>0.5</x:v>
      </x:c>
      <x:c r="I786" t="str">
        <x:v>Intermediário</x:v>
      </x:c>
      <x:c r="J786" t="str">
        <x:v>CAEd_DadosExportados (1).zip</x:v>
      </x:c>
    </x:row>
    <x:row r="787">
      <x:c r="A787" t="str">
        <x:v>2A017</x:v>
      </x:c>
      <x:c r="B787" t="str">
        <x:v>2º ano</x:v>
      </x:c>
      <x:c r="C787" t="str">
        <x:v>referencia</x:v>
      </x:c>
      <x:c r="D787" t="str">
        <x:v>H07</x:v>
      </x:c>
      <x:c r="E787" t="n">
        <x:v>2</x:v>
      </x:c>
      <x:c r="F787" t="n">
        <x:v>2</x:v>
      </x:c>
      <x:c r="G787" t="n">
        <x:f>F787-E787</x:f>
        <x:v>0</x:v>
      </x:c>
      <x:c r="H787" s="2" t="n">
        <x:f>IFERROR(E787/F787,0)</x:f>
        <x:v>1</x:v>
      </x:c>
      <x:c r="I787" t="str">
        <x:v>Intermediário</x:v>
      </x:c>
      <x:c r="J787" t="str">
        <x:v>CAEd_DadosExportados (1).zip</x:v>
      </x:c>
    </x:row>
    <x:row r="788">
      <x:c r="A788" t="str">
        <x:v>2A017</x:v>
      </x:c>
      <x:c r="B788" t="str">
        <x:v>2º ano</x:v>
      </x:c>
      <x:c r="C788" t="str">
        <x:v>referencia</x:v>
      </x:c>
      <x:c r="D788" t="str">
        <x:v>H08</x:v>
      </x:c>
      <x:c r="E788" t="n">
        <x:v>1</x:v>
      </x:c>
      <x:c r="F788" t="n">
        <x:v>2</x:v>
      </x:c>
      <x:c r="G788" t="n">
        <x:f>F788-E788</x:f>
        <x:v>1</x:v>
      </x:c>
      <x:c r="H788" s="2" t="n">
        <x:f>IFERROR(E788/F788,0)</x:f>
        <x:v>0.5</x:v>
      </x:c>
      <x:c r="I788" t="str">
        <x:v>Intermediário</x:v>
      </x:c>
      <x:c r="J788" t="str">
        <x:v>CAEd_DadosExportados (1).zip</x:v>
      </x:c>
    </x:row>
    <x:row r="789">
      <x:c r="A789" t="str">
        <x:v>2A017</x:v>
      </x:c>
      <x:c r="B789" t="str">
        <x:v>2º ano</x:v>
      </x:c>
      <x:c r="C789" t="str">
        <x:v>referencia</x:v>
      </x:c>
      <x:c r="D789" t="str">
        <x:v>H09</x:v>
      </x:c>
      <x:c r="E789" t="n">
        <x:v>2</x:v>
      </x:c>
      <x:c r="F789" t="n">
        <x:v>2</x:v>
      </x:c>
      <x:c r="G789" t="n">
        <x:f>F789-E789</x:f>
        <x:v>0</x:v>
      </x:c>
      <x:c r="H789" s="2" t="n">
        <x:f>IFERROR(E789/F789,0)</x:f>
        <x:v>1</x:v>
      </x:c>
      <x:c r="I789" t="str">
        <x:v>Intermediário</x:v>
      </x:c>
      <x:c r="J789" t="str">
        <x:v>CAEd_DadosExportados (1).zip</x:v>
      </x:c>
    </x:row>
    <x:row r="790">
      <x:c r="A790" t="str">
        <x:v>2A017</x:v>
      </x:c>
      <x:c r="B790" t="str">
        <x:v>2º ano</x:v>
      </x:c>
      <x:c r="C790" t="str">
        <x:v>referencia</x:v>
      </x:c>
      <x:c r="D790" t="str">
        <x:v>H10</x:v>
      </x:c>
      <x:c r="E790" t="n">
        <x:v>0</x:v>
      </x:c>
      <x:c r="F790" t="n">
        <x:v>1</x:v>
      </x:c>
      <x:c r="G790" t="n">
        <x:f>F790-E790</x:f>
        <x:v>1</x:v>
      </x:c>
      <x:c r="H790" s="2" t="n">
        <x:f>IFERROR(E790/F790,0)</x:f>
        <x:v>0</x:v>
      </x:c>
      <x:c r="I790" t="str">
        <x:v>Intermediário</x:v>
      </x:c>
      <x:c r="J790" t="str">
        <x:v>CAEd_DadosExportados (1).zip</x:v>
      </x:c>
    </x:row>
    <x:row r="791">
      <x:c r="A791" t="str">
        <x:v>2A017</x:v>
      </x:c>
      <x:c r="B791" t="str">
        <x:v>2º ano</x:v>
      </x:c>
      <x:c r="C791" t="str">
        <x:v>referencia</x:v>
      </x:c>
      <x:c r="D791" t="str">
        <x:v>H11</x:v>
      </x:c>
      <x:c r="E791" t="n">
        <x:v>1</x:v>
      </x:c>
      <x:c r="F791" t="n">
        <x:v>2</x:v>
      </x:c>
      <x:c r="G791" t="n">
        <x:f>F791-E791</x:f>
        <x:v>1</x:v>
      </x:c>
      <x:c r="H791" s="2" t="n">
        <x:f>IFERROR(E791/F791,0)</x:f>
        <x:v>0.5</x:v>
      </x:c>
      <x:c r="I791" t="str">
        <x:v>Intermediário</x:v>
      </x:c>
      <x:c r="J791" t="str">
        <x:v>CAEd_DadosExportados (1).zip</x:v>
      </x:c>
    </x:row>
    <x:row r="792">
      <x:c r="A792" t="str">
        <x:v>2A017</x:v>
      </x:c>
      <x:c r="B792" t="str">
        <x:v>2º ano</x:v>
      </x:c>
      <x:c r="C792" t="str">
        <x:v>referencia</x:v>
      </x:c>
      <x:c r="D792" t="str">
        <x:v>H12</x:v>
      </x:c>
      <x:c r="E792" t="n">
        <x:v>0</x:v>
      </x:c>
      <x:c r="F792" t="n">
        <x:v>1</x:v>
      </x:c>
      <x:c r="G792" t="n">
        <x:f>F792-E792</x:f>
        <x:v>1</x:v>
      </x:c>
      <x:c r="H792" s="2" t="n">
        <x:f>IFERROR(E792/F792,0)</x:f>
        <x:v>0</x:v>
      </x:c>
      <x:c r="I792" t="str">
        <x:v>Intermediário</x:v>
      </x:c>
      <x:c r="J792" t="str">
        <x:v>CAEd_DadosExportados (1).zip</x:v>
      </x:c>
    </x:row>
    <x:row r="793">
      <x:c r="A793" t="str">
        <x:v>2A017</x:v>
      </x:c>
      <x:c r="B793" t="str">
        <x:v>2º ano</x:v>
      </x:c>
      <x:c r="C793" t="str">
        <x:v>referencia</x:v>
      </x:c>
      <x:c r="D793" t="str">
        <x:v>H13</x:v>
      </x:c>
      <x:c r="E793" t="n">
        <x:v>0</x:v>
      </x:c>
      <x:c r="F793" t="n">
        <x:v>1</x:v>
      </x:c>
      <x:c r="G793" t="n">
        <x:f>F793-E793</x:f>
        <x:v>1</x:v>
      </x:c>
      <x:c r="H793" s="2" t="n">
        <x:f>IFERROR(E793/F793,0)</x:f>
        <x:v>0</x:v>
      </x:c>
      <x:c r="I793" t="str">
        <x:v>Intermediário</x:v>
      </x:c>
      <x:c r="J793" t="str">
        <x:v>CAEd_DadosExportados (1).zip</x:v>
      </x:c>
    </x:row>
    <x:row r="794">
      <x:c r="A794" t="str">
        <x:v>2A018</x:v>
      </x:c>
      <x:c r="B794" t="str">
        <x:v>2º ano</x:v>
      </x:c>
      <x:c r="C794" t="str">
        <x:v>contraprova</x:v>
      </x:c>
      <x:c r="D794" t="str">
        <x:v>H01</x:v>
      </x:c>
      <x:c r="E794" t="n">
        <x:v>1</x:v>
      </x:c>
      <x:c r="F794" t="n">
        <x:v>2</x:v>
      </x:c>
      <x:c r="G794" t="n">
        <x:f>F794-E794</x:f>
        <x:v>1</x:v>
      </x:c>
      <x:c r="H794" s="2" t="n">
        <x:f>IFERROR(E794/F794,0)</x:f>
        <x:v>0.5</x:v>
      </x:c>
      <x:c r="I794" t="str">
        <x:v>Adequado</x:v>
      </x:c>
      <x:c r="J794" t="str">
        <x:v>CAEd_DadosExportados (2).zip</x:v>
      </x:c>
    </x:row>
    <x:row r="795">
      <x:c r="A795" t="str">
        <x:v>2A018</x:v>
      </x:c>
      <x:c r="B795" t="str">
        <x:v>2º ano</x:v>
      </x:c>
      <x:c r="C795" t="str">
        <x:v>contraprova</x:v>
      </x:c>
      <x:c r="D795" t="str">
        <x:v>H02</x:v>
      </x:c>
      <x:c r="E795" t="n">
        <x:v>2</x:v>
      </x:c>
      <x:c r="F795" t="n">
        <x:v>2</x:v>
      </x:c>
      <x:c r="G795" t="n">
        <x:f>F795-E795</x:f>
        <x:v>0</x:v>
      </x:c>
      <x:c r="H795" s="2" t="n">
        <x:f>IFERROR(E795/F795,0)</x:f>
        <x:v>1</x:v>
      </x:c>
      <x:c r="I795" t="str">
        <x:v>Adequado</x:v>
      </x:c>
      <x:c r="J795" t="str">
        <x:v>CAEd_DadosExportados (2).zip</x:v>
      </x:c>
    </x:row>
    <x:row r="796">
      <x:c r="A796" t="str">
        <x:v>2A018</x:v>
      </x:c>
      <x:c r="B796" t="str">
        <x:v>2º ano</x:v>
      </x:c>
      <x:c r="C796" t="str">
        <x:v>contraprova</x:v>
      </x:c>
      <x:c r="D796" t="str">
        <x:v>H03</x:v>
      </x:c>
      <x:c r="E796" t="n">
        <x:v>2</x:v>
      </x:c>
      <x:c r="F796" t="n">
        <x:v>2</x:v>
      </x:c>
      <x:c r="G796" t="n">
        <x:f>F796-E796</x:f>
        <x:v>0</x:v>
      </x:c>
      <x:c r="H796" s="2" t="n">
        <x:f>IFERROR(E796/F796,0)</x:f>
        <x:v>1</x:v>
      </x:c>
      <x:c r="I796" t="str">
        <x:v>Adequado</x:v>
      </x:c>
      <x:c r="J796" t="str">
        <x:v>CAEd_DadosExportados (2).zip</x:v>
      </x:c>
    </x:row>
    <x:row r="797">
      <x:c r="A797" t="str">
        <x:v>2A018</x:v>
      </x:c>
      <x:c r="B797" t="str">
        <x:v>2º ano</x:v>
      </x:c>
      <x:c r="C797" t="str">
        <x:v>contraprova</x:v>
      </x:c>
      <x:c r="D797" t="str">
        <x:v>H04</x:v>
      </x:c>
      <x:c r="E797" t="n">
        <x:v>1</x:v>
      </x:c>
      <x:c r="F797" t="n">
        <x:v>2</x:v>
      </x:c>
      <x:c r="G797" t="n">
        <x:f>F797-E797</x:f>
        <x:v>1</x:v>
      </x:c>
      <x:c r="H797" s="2" t="n">
        <x:f>IFERROR(E797/F797,0)</x:f>
        <x:v>0.5</x:v>
      </x:c>
      <x:c r="I797" t="str">
        <x:v>Adequado</x:v>
      </x:c>
      <x:c r="J797" t="str">
        <x:v>CAEd_DadosExportados (2).zip</x:v>
      </x:c>
    </x:row>
    <x:row r="798">
      <x:c r="A798" t="str">
        <x:v>2A018</x:v>
      </x:c>
      <x:c r="B798" t="str">
        <x:v>2º ano</x:v>
      </x:c>
      <x:c r="C798" t="str">
        <x:v>contraprova</x:v>
      </x:c>
      <x:c r="D798" t="str">
        <x:v>H05</x:v>
      </x:c>
      <x:c r="E798" t="n">
        <x:v>1</x:v>
      </x:c>
      <x:c r="F798" t="n">
        <x:v>2</x:v>
      </x:c>
      <x:c r="G798" t="n">
        <x:f>F798-E798</x:f>
        <x:v>1</x:v>
      </x:c>
      <x:c r="H798" s="2" t="n">
        <x:f>IFERROR(E798/F798,0)</x:f>
        <x:v>0.5</x:v>
      </x:c>
      <x:c r="I798" t="str">
        <x:v>Adequado</x:v>
      </x:c>
      <x:c r="J798" t="str">
        <x:v>CAEd_DadosExportados (2).zip</x:v>
      </x:c>
    </x:row>
    <x:row r="799">
      <x:c r="A799" t="str">
        <x:v>2A018</x:v>
      </x:c>
      <x:c r="B799" t="str">
        <x:v>2º ano</x:v>
      </x:c>
      <x:c r="C799" t="str">
        <x:v>contraprova</x:v>
      </x:c>
      <x:c r="D799" t="str">
        <x:v>H06</x:v>
      </x:c>
      <x:c r="E799" t="n">
        <x:v>2</x:v>
      </x:c>
      <x:c r="F799" t="n">
        <x:v>2</x:v>
      </x:c>
      <x:c r="G799" t="n">
        <x:f>F799-E799</x:f>
        <x:v>0</x:v>
      </x:c>
      <x:c r="H799" s="2" t="n">
        <x:f>IFERROR(E799/F799,0)</x:f>
        <x:v>1</x:v>
      </x:c>
      <x:c r="I799" t="str">
        <x:v>Adequado</x:v>
      </x:c>
      <x:c r="J799" t="str">
        <x:v>CAEd_DadosExportados (2).zip</x:v>
      </x:c>
    </x:row>
    <x:row r="800">
      <x:c r="A800" t="str">
        <x:v>2A018</x:v>
      </x:c>
      <x:c r="B800" t="str">
        <x:v>2º ano</x:v>
      </x:c>
      <x:c r="C800" t="str">
        <x:v>contraprova</x:v>
      </x:c>
      <x:c r="D800" t="str">
        <x:v>H07</x:v>
      </x:c>
      <x:c r="E800" t="n">
        <x:v>1</x:v>
      </x:c>
      <x:c r="F800" t="n">
        <x:v>2</x:v>
      </x:c>
      <x:c r="G800" t="n">
        <x:f>F800-E800</x:f>
        <x:v>1</x:v>
      </x:c>
      <x:c r="H800" s="2" t="n">
        <x:f>IFERROR(E800/F800,0)</x:f>
        <x:v>0.5</x:v>
      </x:c>
      <x:c r="I800" t="str">
        <x:v>Adequado</x:v>
      </x:c>
      <x:c r="J800" t="str">
        <x:v>CAEd_DadosExportados (2).zip</x:v>
      </x:c>
    </x:row>
    <x:row r="801">
      <x:c r="A801" t="str">
        <x:v>2A018</x:v>
      </x:c>
      <x:c r="B801" t="str">
        <x:v>2º ano</x:v>
      </x:c>
      <x:c r="C801" t="str">
        <x:v>contraprova</x:v>
      </x:c>
      <x:c r="D801" t="str">
        <x:v>H08</x:v>
      </x:c>
      <x:c r="E801" t="n">
        <x:v>0</x:v>
      </x:c>
      <x:c r="F801" t="n">
        <x:v>2</x:v>
      </x:c>
      <x:c r="G801" t="n">
        <x:f>F801-E801</x:f>
        <x:v>2</x:v>
      </x:c>
      <x:c r="H801" s="2" t="n">
        <x:f>IFERROR(E801/F801,0)</x:f>
        <x:v>0</x:v>
      </x:c>
      <x:c r="I801" t="str">
        <x:v>Adequado</x:v>
      </x:c>
      <x:c r="J801" t="str">
        <x:v>CAEd_DadosExportados (2).zip</x:v>
      </x:c>
    </x:row>
    <x:row r="802">
      <x:c r="A802" t="str">
        <x:v>2A018</x:v>
      </x:c>
      <x:c r="B802" t="str">
        <x:v>2º ano</x:v>
      </x:c>
      <x:c r="C802" t="str">
        <x:v>contraprova</x:v>
      </x:c>
      <x:c r="D802" t="str">
        <x:v>H09</x:v>
      </x:c>
      <x:c r="E802" t="n">
        <x:v>2</x:v>
      </x:c>
      <x:c r="F802" t="n">
        <x:v>2</x:v>
      </x:c>
      <x:c r="G802" t="n">
        <x:f>F802-E802</x:f>
        <x:v>0</x:v>
      </x:c>
      <x:c r="H802" s="2" t="n">
        <x:f>IFERROR(E802/F802,0)</x:f>
        <x:v>1</x:v>
      </x:c>
      <x:c r="I802" t="str">
        <x:v>Adequado</x:v>
      </x:c>
      <x:c r="J802" t="str">
        <x:v>CAEd_DadosExportados (2).zip</x:v>
      </x:c>
    </x:row>
    <x:row r="803">
      <x:c r="A803" t="str">
        <x:v>2A018</x:v>
      </x:c>
      <x:c r="B803" t="str">
        <x:v>2º ano</x:v>
      </x:c>
      <x:c r="C803" t="str">
        <x:v>contraprova</x:v>
      </x:c>
      <x:c r="D803" t="str">
        <x:v>H10</x:v>
      </x:c>
      <x:c r="E803" t="n">
        <x:v>2</x:v>
      </x:c>
      <x:c r="F803" t="n">
        <x:v>2</x:v>
      </x:c>
      <x:c r="G803" t="n">
        <x:f>F803-E803</x:f>
        <x:v>0</x:v>
      </x:c>
      <x:c r="H803" s="2" t="n">
        <x:f>IFERROR(E803/F803,0)</x:f>
        <x:v>1</x:v>
      </x:c>
      <x:c r="I803" t="str">
        <x:v>Adequado</x:v>
      </x:c>
      <x:c r="J803" t="str">
        <x:v>CAEd_DadosExportados (2).zip</x:v>
      </x:c>
    </x:row>
    <x:row r="804">
      <x:c r="A804" t="str">
        <x:v>2A018</x:v>
      </x:c>
      <x:c r="B804" t="str">
        <x:v>2º ano</x:v>
      </x:c>
      <x:c r="C804" t="str">
        <x:v>contraprova</x:v>
      </x:c>
      <x:c r="D804" t="str">
        <x:v>H11</x:v>
      </x:c>
      <x:c r="E804" t="n">
        <x:v>2</x:v>
      </x:c>
      <x:c r="F804" t="n">
        <x:v>2</x:v>
      </x:c>
      <x:c r="G804" t="n">
        <x:f>F804-E804</x:f>
        <x:v>0</x:v>
      </x:c>
      <x:c r="H804" s="2" t="n">
        <x:f>IFERROR(E804/F804,0)</x:f>
        <x:v>1</x:v>
      </x:c>
      <x:c r="I804" t="str">
        <x:v>Adequado</x:v>
      </x:c>
      <x:c r="J804" t="str">
        <x:v>CAEd_DadosExportados (2).zip</x:v>
      </x:c>
    </x:row>
    <x:row r="805">
      <x:c r="A805" t="str">
        <x:v>2A018</x:v>
      </x:c>
      <x:c r="B805" t="str">
        <x:v>2º ano</x:v>
      </x:c>
      <x:c r="C805" t="str">
        <x:v>referencia</x:v>
      </x:c>
      <x:c r="D805" t="str">
        <x:v>H01</x:v>
      </x:c>
      <x:c r="E805" t="n">
        <x:v>1</x:v>
      </x:c>
      <x:c r="F805" t="n">
        <x:v>2</x:v>
      </x:c>
      <x:c r="G805" t="n">
        <x:f>F805-E805</x:f>
        <x:v>1</x:v>
      </x:c>
      <x:c r="H805" s="2" t="n">
        <x:f>IFERROR(E805/F805,0)</x:f>
        <x:v>0.5</x:v>
      </x:c>
      <x:c r="I805" t="str">
        <x:v>Intermediário</x:v>
      </x:c>
      <x:c r="J805" t="str">
        <x:v>CAEd_DadosExportados (1).zip</x:v>
      </x:c>
    </x:row>
    <x:row r="806">
      <x:c r="A806" t="str">
        <x:v>2A018</x:v>
      </x:c>
      <x:c r="B806" t="str">
        <x:v>2º ano</x:v>
      </x:c>
      <x:c r="C806" t="str">
        <x:v>referencia</x:v>
      </x:c>
      <x:c r="D806" t="str">
        <x:v>H02</x:v>
      </x:c>
      <x:c r="E806" t="n">
        <x:v>1</x:v>
      </x:c>
      <x:c r="F806" t="n">
        <x:v>2</x:v>
      </x:c>
      <x:c r="G806" t="n">
        <x:f>F806-E806</x:f>
        <x:v>1</x:v>
      </x:c>
      <x:c r="H806" s="2" t="n">
        <x:f>IFERROR(E806/F806,0)</x:f>
        <x:v>0.5</x:v>
      </x:c>
      <x:c r="I806" t="str">
        <x:v>Intermediário</x:v>
      </x:c>
      <x:c r="J806" t="str">
        <x:v>CAEd_DadosExportados (1).zip</x:v>
      </x:c>
    </x:row>
    <x:row r="807">
      <x:c r="A807" t="str">
        <x:v>2A018</x:v>
      </x:c>
      <x:c r="B807" t="str">
        <x:v>2º ano</x:v>
      </x:c>
      <x:c r="C807" t="str">
        <x:v>referencia</x:v>
      </x:c>
      <x:c r="D807" t="str">
        <x:v>H03</x:v>
      </x:c>
      <x:c r="E807" t="n">
        <x:v>2</x:v>
      </x:c>
      <x:c r="F807" t="n">
        <x:v>2</x:v>
      </x:c>
      <x:c r="G807" t="n">
        <x:f>F807-E807</x:f>
        <x:v>0</x:v>
      </x:c>
      <x:c r="H807" s="2" t="n">
        <x:f>IFERROR(E807/F807,0)</x:f>
        <x:v>1</x:v>
      </x:c>
      <x:c r="I807" t="str">
        <x:v>Intermediário</x:v>
      </x:c>
      <x:c r="J807" t="str">
        <x:v>CAEd_DadosExportados (1).zip</x:v>
      </x:c>
    </x:row>
    <x:row r="808">
      <x:c r="A808" t="str">
        <x:v>2A018</x:v>
      </x:c>
      <x:c r="B808" t="str">
        <x:v>2º ano</x:v>
      </x:c>
      <x:c r="C808" t="str">
        <x:v>referencia</x:v>
      </x:c>
      <x:c r="D808" t="str">
        <x:v>H04</x:v>
      </x:c>
      <x:c r="E808" t="n">
        <x:v>1</x:v>
      </x:c>
      <x:c r="F808" t="n">
        <x:v>2</x:v>
      </x:c>
      <x:c r="G808" t="n">
        <x:f>F808-E808</x:f>
        <x:v>1</x:v>
      </x:c>
      <x:c r="H808" s="2" t="n">
        <x:f>IFERROR(E808/F808,0)</x:f>
        <x:v>0.5</x:v>
      </x:c>
      <x:c r="I808" t="str">
        <x:v>Intermediário</x:v>
      </x:c>
      <x:c r="J808" t="str">
        <x:v>CAEd_DadosExportados (1).zip</x:v>
      </x:c>
    </x:row>
    <x:row r="809">
      <x:c r="A809" t="str">
        <x:v>2A018</x:v>
      </x:c>
      <x:c r="B809" t="str">
        <x:v>2º ano</x:v>
      </x:c>
      <x:c r="C809" t="str">
        <x:v>referencia</x:v>
      </x:c>
      <x:c r="D809" t="str">
        <x:v>H05</x:v>
      </x:c>
      <x:c r="E809" t="n">
        <x:v>1</x:v>
      </x:c>
      <x:c r="F809" t="n">
        <x:v>1</x:v>
      </x:c>
      <x:c r="G809" t="n">
        <x:f>F809-E809</x:f>
        <x:v>0</x:v>
      </x:c>
      <x:c r="H809" s="2" t="n">
        <x:f>IFERROR(E809/F809,0)</x:f>
        <x:v>1</x:v>
      </x:c>
      <x:c r="I809" t="str">
        <x:v>Intermediário</x:v>
      </x:c>
      <x:c r="J809" t="str">
        <x:v>CAEd_DadosExportados (1).zip</x:v>
      </x:c>
    </x:row>
    <x:row r="810">
      <x:c r="A810" t="str">
        <x:v>2A018</x:v>
      </x:c>
      <x:c r="B810" t="str">
        <x:v>2º ano</x:v>
      </x:c>
      <x:c r="C810" t="str">
        <x:v>referencia</x:v>
      </x:c>
      <x:c r="D810" t="str">
        <x:v>H06</x:v>
      </x:c>
      <x:c r="E810" t="n">
        <x:v>1</x:v>
      </x:c>
      <x:c r="F810" t="n">
        <x:v>2</x:v>
      </x:c>
      <x:c r="G810" t="n">
        <x:f>F810-E810</x:f>
        <x:v>1</x:v>
      </x:c>
      <x:c r="H810" s="2" t="n">
        <x:f>IFERROR(E810/F810,0)</x:f>
        <x:v>0.5</x:v>
      </x:c>
      <x:c r="I810" t="str">
        <x:v>Intermediário</x:v>
      </x:c>
      <x:c r="J810" t="str">
        <x:v>CAEd_DadosExportados (1).zip</x:v>
      </x:c>
    </x:row>
    <x:row r="811">
      <x:c r="A811" t="str">
        <x:v>2A018</x:v>
      </x:c>
      <x:c r="B811" t="str">
        <x:v>2º ano</x:v>
      </x:c>
      <x:c r="C811" t="str">
        <x:v>referencia</x:v>
      </x:c>
      <x:c r="D811" t="str">
        <x:v>H07</x:v>
      </x:c>
      <x:c r="E811" t="n">
        <x:v>1</x:v>
      </x:c>
      <x:c r="F811" t="n">
        <x:v>2</x:v>
      </x:c>
      <x:c r="G811" t="n">
        <x:f>F811-E811</x:f>
        <x:v>1</x:v>
      </x:c>
      <x:c r="H811" s="2" t="n">
        <x:f>IFERROR(E811/F811,0)</x:f>
        <x:v>0.5</x:v>
      </x:c>
      <x:c r="I811" t="str">
        <x:v>Intermediário</x:v>
      </x:c>
      <x:c r="J811" t="str">
        <x:v>CAEd_DadosExportados (1).zip</x:v>
      </x:c>
    </x:row>
    <x:row r="812">
      <x:c r="A812" t="str">
        <x:v>2A018</x:v>
      </x:c>
      <x:c r="B812" t="str">
        <x:v>2º ano</x:v>
      </x:c>
      <x:c r="C812" t="str">
        <x:v>referencia</x:v>
      </x:c>
      <x:c r="D812" t="str">
        <x:v>H08</x:v>
      </x:c>
      <x:c r="E812" t="n">
        <x:v>1</x:v>
      </x:c>
      <x:c r="F812" t="n">
        <x:v>2</x:v>
      </x:c>
      <x:c r="G812" t="n">
        <x:f>F812-E812</x:f>
        <x:v>1</x:v>
      </x:c>
      <x:c r="H812" s="2" t="n">
        <x:f>IFERROR(E812/F812,0)</x:f>
        <x:v>0.5</x:v>
      </x:c>
      <x:c r="I812" t="str">
        <x:v>Intermediário</x:v>
      </x:c>
      <x:c r="J812" t="str">
        <x:v>CAEd_DadosExportados (1).zip</x:v>
      </x:c>
    </x:row>
    <x:row r="813">
      <x:c r="A813" t="str">
        <x:v>2A018</x:v>
      </x:c>
      <x:c r="B813" t="str">
        <x:v>2º ano</x:v>
      </x:c>
      <x:c r="C813" t="str">
        <x:v>referencia</x:v>
      </x:c>
      <x:c r="D813" t="str">
        <x:v>H09</x:v>
      </x:c>
      <x:c r="E813" t="n">
        <x:v>2</x:v>
      </x:c>
      <x:c r="F813" t="n">
        <x:v>2</x:v>
      </x:c>
      <x:c r="G813" t="n">
        <x:f>F813-E813</x:f>
        <x:v>0</x:v>
      </x:c>
      <x:c r="H813" s="2" t="n">
        <x:f>IFERROR(E813/F813,0)</x:f>
        <x:v>1</x:v>
      </x:c>
      <x:c r="I813" t="str">
        <x:v>Intermediário</x:v>
      </x:c>
      <x:c r="J813" t="str">
        <x:v>CAEd_DadosExportados (1).zip</x:v>
      </x:c>
    </x:row>
    <x:row r="814">
      <x:c r="A814" t="str">
        <x:v>2A018</x:v>
      </x:c>
      <x:c r="B814" t="str">
        <x:v>2º ano</x:v>
      </x:c>
      <x:c r="C814" t="str">
        <x:v>referencia</x:v>
      </x:c>
      <x:c r="D814" t="str">
        <x:v>H10</x:v>
      </x:c>
      <x:c r="E814" t="n">
        <x:v>0</x:v>
      </x:c>
      <x:c r="F814" t="n">
        <x:v>1</x:v>
      </x:c>
      <x:c r="G814" t="n">
        <x:f>F814-E814</x:f>
        <x:v>1</x:v>
      </x:c>
      <x:c r="H814" s="2" t="n">
        <x:f>IFERROR(E814/F814,0)</x:f>
        <x:v>0</x:v>
      </x:c>
      <x:c r="I814" t="str">
        <x:v>Intermediário</x:v>
      </x:c>
      <x:c r="J814" t="str">
        <x:v>CAEd_DadosExportados (1).zip</x:v>
      </x:c>
    </x:row>
    <x:row r="815">
      <x:c r="A815" t="str">
        <x:v>2A018</x:v>
      </x:c>
      <x:c r="B815" t="str">
        <x:v>2º ano</x:v>
      </x:c>
      <x:c r="C815" t="str">
        <x:v>referencia</x:v>
      </x:c>
      <x:c r="D815" t="str">
        <x:v>H11</x:v>
      </x:c>
      <x:c r="E815" t="n">
        <x:v>2</x:v>
      </x:c>
      <x:c r="F815" t="n">
        <x:v>2</x:v>
      </x:c>
      <x:c r="G815" t="n">
        <x:f>F815-E815</x:f>
        <x:v>0</x:v>
      </x:c>
      <x:c r="H815" s="2" t="n">
        <x:f>IFERROR(E815/F815,0)</x:f>
        <x:v>1</x:v>
      </x:c>
      <x:c r="I815" t="str">
        <x:v>Intermediário</x:v>
      </x:c>
      <x:c r="J815" t="str">
        <x:v>CAEd_DadosExportados (1).zip</x:v>
      </x:c>
    </x:row>
    <x:row r="816">
      <x:c r="A816" t="str">
        <x:v>2A018</x:v>
      </x:c>
      <x:c r="B816" t="str">
        <x:v>2º ano</x:v>
      </x:c>
      <x:c r="C816" t="str">
        <x:v>referencia</x:v>
      </x:c>
      <x:c r="D816" t="str">
        <x:v>H12</x:v>
      </x:c>
      <x:c r="E816" t="n">
        <x:v>1</x:v>
      </x:c>
      <x:c r="F816" t="n">
        <x:v>1</x:v>
      </x:c>
      <x:c r="G816" t="n">
        <x:f>F816-E816</x:f>
        <x:v>0</x:v>
      </x:c>
      <x:c r="H816" s="2" t="n">
        <x:f>IFERROR(E816/F816,0)</x:f>
        <x:v>1</x:v>
      </x:c>
      <x:c r="I816" t="str">
        <x:v>Intermediário</x:v>
      </x:c>
      <x:c r="J816" t="str">
        <x:v>CAEd_DadosExportados (1).zip</x:v>
      </x:c>
    </x:row>
    <x:row r="817">
      <x:c r="A817" t="str">
        <x:v>2A018</x:v>
      </x:c>
      <x:c r="B817" t="str">
        <x:v>2º ano</x:v>
      </x:c>
      <x:c r="C817" t="str">
        <x:v>referencia</x:v>
      </x:c>
      <x:c r="D817" t="str">
        <x:v>H13</x:v>
      </x:c>
      <x:c r="E817" t="n">
        <x:v>0</x:v>
      </x:c>
      <x:c r="F817" t="n">
        <x:v>1</x:v>
      </x:c>
      <x:c r="G817" t="n">
        <x:f>F817-E817</x:f>
        <x:v>1</x:v>
      </x:c>
      <x:c r="H817" s="2" t="n">
        <x:f>IFERROR(E817/F817,0)</x:f>
        <x:v>0</x:v>
      </x:c>
      <x:c r="I817" t="str">
        <x:v>Intermediário</x:v>
      </x:c>
      <x:c r="J817" t="str">
        <x:v>CAEd_DadosExportados (1).zip</x:v>
      </x:c>
    </x:row>
    <x:row r="818">
      <x:c r="A818" t="str">
        <x:v>2A019</x:v>
      </x:c>
      <x:c r="B818" t="str">
        <x:v>2º ano</x:v>
      </x:c>
      <x:c r="C818" t="str">
        <x:v>contraprova</x:v>
      </x:c>
      <x:c r="D818" t="str">
        <x:v>H01</x:v>
      </x:c>
      <x:c r="E818" t="n">
        <x:v>0</x:v>
      </x:c>
      <x:c r="F818" t="n">
        <x:v>2</x:v>
      </x:c>
      <x:c r="G818" t="n">
        <x:f>F818-E818</x:f>
        <x:v>2</x:v>
      </x:c>
      <x:c r="H818" s="2" t="n">
        <x:f>IFERROR(E818/F818,0)</x:f>
        <x:v>0</x:v>
      </x:c>
      <x:c r="I818" t="str">
        <x:v>Defasagem</x:v>
      </x:c>
      <x:c r="J818" t="str">
        <x:v>CAEd_DadosExportados (2).zip</x:v>
      </x:c>
    </x:row>
    <x:row r="819">
      <x:c r="A819" t="str">
        <x:v>2A019</x:v>
      </x:c>
      <x:c r="B819" t="str">
        <x:v>2º ano</x:v>
      </x:c>
      <x:c r="C819" t="str">
        <x:v>contraprova</x:v>
      </x:c>
      <x:c r="D819" t="str">
        <x:v>H02</x:v>
      </x:c>
      <x:c r="E819" t="n">
        <x:v>0</x:v>
      </x:c>
      <x:c r="F819" t="n">
        <x:v>2</x:v>
      </x:c>
      <x:c r="G819" t="n">
        <x:f>F819-E819</x:f>
        <x:v>2</x:v>
      </x:c>
      <x:c r="H819" s="2" t="n">
        <x:f>IFERROR(E819/F819,0)</x:f>
        <x:v>0</x:v>
      </x:c>
      <x:c r="I819" t="str">
        <x:v>Defasagem</x:v>
      </x:c>
      <x:c r="J819" t="str">
        <x:v>CAEd_DadosExportados (2).zip</x:v>
      </x:c>
    </x:row>
    <x:row r="820">
      <x:c r="A820" t="str">
        <x:v>2A019</x:v>
      </x:c>
      <x:c r="B820" t="str">
        <x:v>2º ano</x:v>
      </x:c>
      <x:c r="C820" t="str">
        <x:v>contraprova</x:v>
      </x:c>
      <x:c r="D820" t="str">
        <x:v>H03</x:v>
      </x:c>
      <x:c r="E820" t="n">
        <x:v>0</x:v>
      </x:c>
      <x:c r="F820" t="n">
        <x:v>2</x:v>
      </x:c>
      <x:c r="G820" t="n">
        <x:f>F820-E820</x:f>
        <x:v>2</x:v>
      </x:c>
      <x:c r="H820" s="2" t="n">
        <x:f>IFERROR(E820/F820,0)</x:f>
        <x:v>0</x:v>
      </x:c>
      <x:c r="I820" t="str">
        <x:v>Defasagem</x:v>
      </x:c>
      <x:c r="J820" t="str">
        <x:v>CAEd_DadosExportados (2).zip</x:v>
      </x:c>
    </x:row>
    <x:row r="821">
      <x:c r="A821" t="str">
        <x:v>2A019</x:v>
      </x:c>
      <x:c r="B821" t="str">
        <x:v>2º ano</x:v>
      </x:c>
      <x:c r="C821" t="str">
        <x:v>contraprova</x:v>
      </x:c>
      <x:c r="D821" t="str">
        <x:v>H04</x:v>
      </x:c>
      <x:c r="E821" t="n">
        <x:v>0</x:v>
      </x:c>
      <x:c r="F821" t="n">
        <x:v>2</x:v>
      </x:c>
      <x:c r="G821" t="n">
        <x:f>F821-E821</x:f>
        <x:v>2</x:v>
      </x:c>
      <x:c r="H821" s="2" t="n">
        <x:f>IFERROR(E821/F821,0)</x:f>
        <x:v>0</x:v>
      </x:c>
      <x:c r="I821" t="str">
        <x:v>Defasagem</x:v>
      </x:c>
      <x:c r="J821" t="str">
        <x:v>CAEd_DadosExportados (2).zip</x:v>
      </x:c>
    </x:row>
    <x:row r="822">
      <x:c r="A822" t="str">
        <x:v>2A019</x:v>
      </x:c>
      <x:c r="B822" t="str">
        <x:v>2º ano</x:v>
      </x:c>
      <x:c r="C822" t="str">
        <x:v>contraprova</x:v>
      </x:c>
      <x:c r="D822" t="str">
        <x:v>H05</x:v>
      </x:c>
      <x:c r="E822" t="n">
        <x:v>0</x:v>
      </x:c>
      <x:c r="F822" t="n">
        <x:v>2</x:v>
      </x:c>
      <x:c r="G822" t="n">
        <x:f>F822-E822</x:f>
        <x:v>2</x:v>
      </x:c>
      <x:c r="H822" s="2" t="n">
        <x:f>IFERROR(E822/F822,0)</x:f>
        <x:v>0</x:v>
      </x:c>
      <x:c r="I822" t="str">
        <x:v>Defasagem</x:v>
      </x:c>
      <x:c r="J822" t="str">
        <x:v>CAEd_DadosExportados (2).zip</x:v>
      </x:c>
    </x:row>
    <x:row r="823">
      <x:c r="A823" t="str">
        <x:v>2A019</x:v>
      </x:c>
      <x:c r="B823" t="str">
        <x:v>2º ano</x:v>
      </x:c>
      <x:c r="C823" t="str">
        <x:v>contraprova</x:v>
      </x:c>
      <x:c r="D823" t="str">
        <x:v>H06</x:v>
      </x:c>
      <x:c r="E823" t="n">
        <x:v>0</x:v>
      </x:c>
      <x:c r="F823" t="n">
        <x:v>2</x:v>
      </x:c>
      <x:c r="G823" t="n">
        <x:f>F823-E823</x:f>
        <x:v>2</x:v>
      </x:c>
      <x:c r="H823" s="2" t="n">
        <x:f>IFERROR(E823/F823,0)</x:f>
        <x:v>0</x:v>
      </x:c>
      <x:c r="I823" t="str">
        <x:v>Defasagem</x:v>
      </x:c>
      <x:c r="J823" t="str">
        <x:v>CAEd_DadosExportados (2).zip</x:v>
      </x:c>
    </x:row>
    <x:row r="824">
      <x:c r="A824" t="str">
        <x:v>2A019</x:v>
      </x:c>
      <x:c r="B824" t="str">
        <x:v>2º ano</x:v>
      </x:c>
      <x:c r="C824" t="str">
        <x:v>contraprova</x:v>
      </x:c>
      <x:c r="D824" t="str">
        <x:v>H07</x:v>
      </x:c>
      <x:c r="E824" t="n">
        <x:v>0</x:v>
      </x:c>
      <x:c r="F824" t="n">
        <x:v>2</x:v>
      </x:c>
      <x:c r="G824" t="n">
        <x:f>F824-E824</x:f>
        <x:v>2</x:v>
      </x:c>
      <x:c r="H824" s="2" t="n">
        <x:f>IFERROR(E824/F824,0)</x:f>
        <x:v>0</x:v>
      </x:c>
      <x:c r="I824" t="str">
        <x:v>Defasagem</x:v>
      </x:c>
      <x:c r="J824" t="str">
        <x:v>CAEd_DadosExportados (2).zip</x:v>
      </x:c>
    </x:row>
    <x:row r="825">
      <x:c r="A825" t="str">
        <x:v>2A019</x:v>
      </x:c>
      <x:c r="B825" t="str">
        <x:v>2º ano</x:v>
      </x:c>
      <x:c r="C825" t="str">
        <x:v>contraprova</x:v>
      </x:c>
      <x:c r="D825" t="str">
        <x:v>H08</x:v>
      </x:c>
      <x:c r="E825" t="n">
        <x:v>0</x:v>
      </x:c>
      <x:c r="F825" t="n">
        <x:v>2</x:v>
      </x:c>
      <x:c r="G825" t="n">
        <x:f>F825-E825</x:f>
        <x:v>2</x:v>
      </x:c>
      <x:c r="H825" s="2" t="n">
        <x:f>IFERROR(E825/F825,0)</x:f>
        <x:v>0</x:v>
      </x:c>
      <x:c r="I825" t="str">
        <x:v>Defasagem</x:v>
      </x:c>
      <x:c r="J825" t="str">
        <x:v>CAEd_DadosExportados (2).zip</x:v>
      </x:c>
    </x:row>
    <x:row r="826">
      <x:c r="A826" t="str">
        <x:v>2A019</x:v>
      </x:c>
      <x:c r="B826" t="str">
        <x:v>2º ano</x:v>
      </x:c>
      <x:c r="C826" t="str">
        <x:v>contraprova</x:v>
      </x:c>
      <x:c r="D826" t="str">
        <x:v>H09</x:v>
      </x:c>
      <x:c r="E826" t="n">
        <x:v>0</x:v>
      </x:c>
      <x:c r="F826" t="n">
        <x:v>2</x:v>
      </x:c>
      <x:c r="G826" t="n">
        <x:f>F826-E826</x:f>
        <x:v>2</x:v>
      </x:c>
      <x:c r="H826" s="2" t="n">
        <x:f>IFERROR(E826/F826,0)</x:f>
        <x:v>0</x:v>
      </x:c>
      <x:c r="I826" t="str">
        <x:v>Defasagem</x:v>
      </x:c>
      <x:c r="J826" t="str">
        <x:v>CAEd_DadosExportados (2).zip</x:v>
      </x:c>
    </x:row>
    <x:row r="827">
      <x:c r="A827" t="str">
        <x:v>2A019</x:v>
      </x:c>
      <x:c r="B827" t="str">
        <x:v>2º ano</x:v>
      </x:c>
      <x:c r="C827" t="str">
        <x:v>contraprova</x:v>
      </x:c>
      <x:c r="D827" t="str">
        <x:v>H10</x:v>
      </x:c>
      <x:c r="E827" t="n">
        <x:v>0</x:v>
      </x:c>
      <x:c r="F827" t="n">
        <x:v>2</x:v>
      </x:c>
      <x:c r="G827" t="n">
        <x:f>F827-E827</x:f>
        <x:v>2</x:v>
      </x:c>
      <x:c r="H827" s="2" t="n">
        <x:f>IFERROR(E827/F827,0)</x:f>
        <x:v>0</x:v>
      </x:c>
      <x:c r="I827" t="str">
        <x:v>Defasagem</x:v>
      </x:c>
      <x:c r="J827" t="str">
        <x:v>CAEd_DadosExportados (2).zip</x:v>
      </x:c>
    </x:row>
    <x:row r="828">
      <x:c r="A828" t="str">
        <x:v>2A019</x:v>
      </x:c>
      <x:c r="B828" t="str">
        <x:v>2º ano</x:v>
      </x:c>
      <x:c r="C828" t="str">
        <x:v>contraprova</x:v>
      </x:c>
      <x:c r="D828" t="str">
        <x:v>H11</x:v>
      </x:c>
      <x:c r="E828" t="n">
        <x:v>0</x:v>
      </x:c>
      <x:c r="F828" t="n">
        <x:v>2</x:v>
      </x:c>
      <x:c r="G828" t="n">
        <x:f>F828-E828</x:f>
        <x:v>2</x:v>
      </x:c>
      <x:c r="H828" s="2" t="n">
        <x:f>IFERROR(E828/F828,0)</x:f>
        <x:v>0</x:v>
      </x:c>
      <x:c r="I828" t="str">
        <x:v>Defasagem</x:v>
      </x:c>
      <x:c r="J828" t="str">
        <x:v>CAEd_DadosExportados (2).zip</x:v>
      </x:c>
    </x:row>
    <x:row r="829">
      <x:c r="A829" t="str">
        <x:v>2A019</x:v>
      </x:c>
      <x:c r="B829" t="str">
        <x:v>2º ano</x:v>
      </x:c>
      <x:c r="C829" t="str">
        <x:v>referencia</x:v>
      </x:c>
      <x:c r="D829" t="str">
        <x:v>H01</x:v>
      </x:c>
      <x:c r="E829" t="n">
        <x:v>0</x:v>
      </x:c>
      <x:c r="F829" t="n">
        <x:v>2</x:v>
      </x:c>
      <x:c r="G829" t="n">
        <x:f>F829-E829</x:f>
        <x:v>2</x:v>
      </x:c>
      <x:c r="H829" s="2" t="n">
        <x:f>IFERROR(E829/F829,0)</x:f>
        <x:v>0</x:v>
      </x:c>
      <x:c r="I829" t="str">
        <x:v>Defasagem</x:v>
      </x:c>
      <x:c r="J829" t="str">
        <x:v>CAEd_DadosExportados (1).zip</x:v>
      </x:c>
    </x:row>
    <x:row r="830">
      <x:c r="A830" t="str">
        <x:v>2A019</x:v>
      </x:c>
      <x:c r="B830" t="str">
        <x:v>2º ano</x:v>
      </x:c>
      <x:c r="C830" t="str">
        <x:v>referencia</x:v>
      </x:c>
      <x:c r="D830" t="str">
        <x:v>H02</x:v>
      </x:c>
      <x:c r="E830" t="n">
        <x:v>2</x:v>
      </x:c>
      <x:c r="F830" t="n">
        <x:v>2</x:v>
      </x:c>
      <x:c r="G830" t="n">
        <x:f>F830-E830</x:f>
        <x:v>0</x:v>
      </x:c>
      <x:c r="H830" s="2" t="n">
        <x:f>IFERROR(E830/F830,0)</x:f>
        <x:v>1</x:v>
      </x:c>
      <x:c r="I830" t="str">
        <x:v>Defasagem</x:v>
      </x:c>
      <x:c r="J830" t="str">
        <x:v>CAEd_DadosExportados (1).zip</x:v>
      </x:c>
    </x:row>
    <x:row r="831">
      <x:c r="A831" t="str">
        <x:v>2A019</x:v>
      </x:c>
      <x:c r="B831" t="str">
        <x:v>2º ano</x:v>
      </x:c>
      <x:c r="C831" t="str">
        <x:v>referencia</x:v>
      </x:c>
      <x:c r="D831" t="str">
        <x:v>H03</x:v>
      </x:c>
      <x:c r="E831" t="n">
        <x:v>0</x:v>
      </x:c>
      <x:c r="F831" t="n">
        <x:v>2</x:v>
      </x:c>
      <x:c r="G831" t="n">
        <x:f>F831-E831</x:f>
        <x:v>2</x:v>
      </x:c>
      <x:c r="H831" s="2" t="n">
        <x:f>IFERROR(E831/F831,0)</x:f>
        <x:v>0</x:v>
      </x:c>
      <x:c r="I831" t="str">
        <x:v>Defasagem</x:v>
      </x:c>
      <x:c r="J831" t="str">
        <x:v>CAEd_DadosExportados (1).zip</x:v>
      </x:c>
    </x:row>
    <x:row r="832">
      <x:c r="A832" t="str">
        <x:v>2A019</x:v>
      </x:c>
      <x:c r="B832" t="str">
        <x:v>2º ano</x:v>
      </x:c>
      <x:c r="C832" t="str">
        <x:v>referencia</x:v>
      </x:c>
      <x:c r="D832" t="str">
        <x:v>H04</x:v>
      </x:c>
      <x:c r="E832" t="n">
        <x:v>2</x:v>
      </x:c>
      <x:c r="F832" t="n">
        <x:v>2</x:v>
      </x:c>
      <x:c r="G832" t="n">
        <x:f>F832-E832</x:f>
        <x:v>0</x:v>
      </x:c>
      <x:c r="H832" s="2" t="n">
        <x:f>IFERROR(E832/F832,0)</x:f>
        <x:v>1</x:v>
      </x:c>
      <x:c r="I832" t="str">
        <x:v>Defasagem</x:v>
      </x:c>
      <x:c r="J832" t="str">
        <x:v>CAEd_DadosExportados (1).zip</x:v>
      </x:c>
    </x:row>
    <x:row r="833">
      <x:c r="A833" t="str">
        <x:v>2A019</x:v>
      </x:c>
      <x:c r="B833" t="str">
        <x:v>2º ano</x:v>
      </x:c>
      <x:c r="C833" t="str">
        <x:v>referencia</x:v>
      </x:c>
      <x:c r="D833" t="str">
        <x:v>H05</x:v>
      </x:c>
      <x:c r="E833" t="n">
        <x:v>1</x:v>
      </x:c>
      <x:c r="F833" t="n">
        <x:v>1</x:v>
      </x:c>
      <x:c r="G833" t="n">
        <x:f>F833-E833</x:f>
        <x:v>0</x:v>
      </x:c>
      <x:c r="H833" s="2" t="n">
        <x:f>IFERROR(E833/F833,0)</x:f>
        <x:v>1</x:v>
      </x:c>
      <x:c r="I833" t="str">
        <x:v>Defasagem</x:v>
      </x:c>
      <x:c r="J833" t="str">
        <x:v>CAEd_DadosExportados (1).zip</x:v>
      </x:c>
    </x:row>
    <x:row r="834">
      <x:c r="A834" t="str">
        <x:v>2A019</x:v>
      </x:c>
      <x:c r="B834" t="str">
        <x:v>2º ano</x:v>
      </x:c>
      <x:c r="C834" t="str">
        <x:v>referencia</x:v>
      </x:c>
      <x:c r="D834" t="str">
        <x:v>H06</x:v>
      </x:c>
      <x:c r="E834" t="n">
        <x:v>0</x:v>
      </x:c>
      <x:c r="F834" t="n">
        <x:v>2</x:v>
      </x:c>
      <x:c r="G834" t="n">
        <x:f>F834-E834</x:f>
        <x:v>2</x:v>
      </x:c>
      <x:c r="H834" s="2" t="n">
        <x:f>IFERROR(E834/F834,0)</x:f>
        <x:v>0</x:v>
      </x:c>
      <x:c r="I834" t="str">
        <x:v>Defasagem</x:v>
      </x:c>
      <x:c r="J834" t="str">
        <x:v>CAEd_DadosExportados (1).zip</x:v>
      </x:c>
    </x:row>
    <x:row r="835">
      <x:c r="A835" t="str">
        <x:v>2A019</x:v>
      </x:c>
      <x:c r="B835" t="str">
        <x:v>2º ano</x:v>
      </x:c>
      <x:c r="C835" t="str">
        <x:v>referencia</x:v>
      </x:c>
      <x:c r="D835" t="str">
        <x:v>H07</x:v>
      </x:c>
      <x:c r="E835" t="n">
        <x:v>1</x:v>
      </x:c>
      <x:c r="F835" t="n">
        <x:v>2</x:v>
      </x:c>
      <x:c r="G835" t="n">
        <x:f>F835-E835</x:f>
        <x:v>1</x:v>
      </x:c>
      <x:c r="H835" s="2" t="n">
        <x:f>IFERROR(E835/F835,0)</x:f>
        <x:v>0.5</x:v>
      </x:c>
      <x:c r="I835" t="str">
        <x:v>Defasagem</x:v>
      </x:c>
      <x:c r="J835" t="str">
        <x:v>CAEd_DadosExportados (1).zip</x:v>
      </x:c>
    </x:row>
    <x:row r="836">
      <x:c r="A836" t="str">
        <x:v>2A019</x:v>
      </x:c>
      <x:c r="B836" t="str">
        <x:v>2º ano</x:v>
      </x:c>
      <x:c r="C836" t="str">
        <x:v>referencia</x:v>
      </x:c>
      <x:c r="D836" t="str">
        <x:v>H08</x:v>
      </x:c>
      <x:c r="E836" t="n">
        <x:v>0</x:v>
      </x:c>
      <x:c r="F836" t="n">
        <x:v>2</x:v>
      </x:c>
      <x:c r="G836" t="n">
        <x:f>F836-E836</x:f>
        <x:v>2</x:v>
      </x:c>
      <x:c r="H836" s="2" t="n">
        <x:f>IFERROR(E836/F836,0)</x:f>
        <x:v>0</x:v>
      </x:c>
      <x:c r="I836" t="str">
        <x:v>Defasagem</x:v>
      </x:c>
      <x:c r="J836" t="str">
        <x:v>CAEd_DadosExportados (1).zip</x:v>
      </x:c>
    </x:row>
    <x:row r="837">
      <x:c r="A837" t="str">
        <x:v>2A019</x:v>
      </x:c>
      <x:c r="B837" t="str">
        <x:v>2º ano</x:v>
      </x:c>
      <x:c r="C837" t="str">
        <x:v>referencia</x:v>
      </x:c>
      <x:c r="D837" t="str">
        <x:v>H09</x:v>
      </x:c>
      <x:c r="E837" t="n">
        <x:v>2</x:v>
      </x:c>
      <x:c r="F837" t="n">
        <x:v>2</x:v>
      </x:c>
      <x:c r="G837" t="n">
        <x:f>F837-E837</x:f>
        <x:v>0</x:v>
      </x:c>
      <x:c r="H837" s="2" t="n">
        <x:f>IFERROR(E837/F837,0)</x:f>
        <x:v>1</x:v>
      </x:c>
      <x:c r="I837" t="str">
        <x:v>Defasagem</x:v>
      </x:c>
      <x:c r="J837" t="str">
        <x:v>CAEd_DadosExportados (1).zip</x:v>
      </x:c>
    </x:row>
    <x:row r="838">
      <x:c r="A838" t="str">
        <x:v>2A019</x:v>
      </x:c>
      <x:c r="B838" t="str">
        <x:v>2º ano</x:v>
      </x:c>
      <x:c r="C838" t="str">
        <x:v>referencia</x:v>
      </x:c>
      <x:c r="D838" t="str">
        <x:v>H10</x:v>
      </x:c>
      <x:c r="E838" t="n">
        <x:v>0</x:v>
      </x:c>
      <x:c r="F838" t="n">
        <x:v>1</x:v>
      </x:c>
      <x:c r="G838" t="n">
        <x:f>F838-E838</x:f>
        <x:v>1</x:v>
      </x:c>
      <x:c r="H838" s="2" t="n">
        <x:f>IFERROR(E838/F838,0)</x:f>
        <x:v>0</x:v>
      </x:c>
      <x:c r="I838" t="str">
        <x:v>Defasagem</x:v>
      </x:c>
      <x:c r="J838" t="str">
        <x:v>CAEd_DadosExportados (1).zip</x:v>
      </x:c>
    </x:row>
    <x:row r="839">
      <x:c r="A839" t="str">
        <x:v>2A019</x:v>
      </x:c>
      <x:c r="B839" t="str">
        <x:v>2º ano</x:v>
      </x:c>
      <x:c r="C839" t="str">
        <x:v>referencia</x:v>
      </x:c>
      <x:c r="D839" t="str">
        <x:v>H11</x:v>
      </x:c>
      <x:c r="E839" t="n">
        <x:v>0</x:v>
      </x:c>
      <x:c r="F839" t="n">
        <x:v>2</x:v>
      </x:c>
      <x:c r="G839" t="n">
        <x:f>F839-E839</x:f>
        <x:v>2</x:v>
      </x:c>
      <x:c r="H839" s="2" t="n">
        <x:f>IFERROR(E839/F839,0)</x:f>
        <x:v>0</x:v>
      </x:c>
      <x:c r="I839" t="str">
        <x:v>Defasagem</x:v>
      </x:c>
      <x:c r="J839" t="str">
        <x:v>CAEd_DadosExportados (1).zip</x:v>
      </x:c>
    </x:row>
    <x:row r="840">
      <x:c r="A840" t="str">
        <x:v>2A019</x:v>
      </x:c>
      <x:c r="B840" t="str">
        <x:v>2º ano</x:v>
      </x:c>
      <x:c r="C840" t="str">
        <x:v>referencia</x:v>
      </x:c>
      <x:c r="D840" t="str">
        <x:v>H12</x:v>
      </x:c>
      <x:c r="E840" t="n">
        <x:v>1</x:v>
      </x:c>
      <x:c r="F840" t="n">
        <x:v>1</x:v>
      </x:c>
      <x:c r="G840" t="n">
        <x:f>F840-E840</x:f>
        <x:v>0</x:v>
      </x:c>
      <x:c r="H840" s="2" t="n">
        <x:f>IFERROR(E840/F840,0)</x:f>
        <x:v>1</x:v>
      </x:c>
      <x:c r="I840" t="str">
        <x:v>Defasagem</x:v>
      </x:c>
      <x:c r="J840" t="str">
        <x:v>CAEd_DadosExportados (1).zip</x:v>
      </x:c>
    </x:row>
    <x:row r="841">
      <x:c r="A841" t="str">
        <x:v>2A019</x:v>
      </x:c>
      <x:c r="B841" t="str">
        <x:v>2º ano</x:v>
      </x:c>
      <x:c r="C841" t="str">
        <x:v>referencia</x:v>
      </x:c>
      <x:c r="D841" t="str">
        <x:v>H13</x:v>
      </x:c>
      <x:c r="E841" t="n">
        <x:v>0</x:v>
      </x:c>
      <x:c r="F841" t="n">
        <x:v>1</x:v>
      </x:c>
      <x:c r="G841" t="n">
        <x:f>F841-E841</x:f>
        <x:v>1</x:v>
      </x:c>
      <x:c r="H841" s="2" t="n">
        <x:f>IFERROR(E841/F841,0)</x:f>
        <x:v>0</x:v>
      </x:c>
      <x:c r="I841" t="str">
        <x:v>Defasagem</x:v>
      </x:c>
      <x:c r="J841" t="str">
        <x:v>CAEd_DadosExportados (1).zip</x:v>
      </x:c>
    </x:row>
    <x:row r="842">
      <x:c r="A842" t="str">
        <x:v>2A020</x:v>
      </x:c>
      <x:c r="B842" t="str">
        <x:v>2º ano</x:v>
      </x:c>
      <x:c r="C842" t="str">
        <x:v>contraprova</x:v>
      </x:c>
      <x:c r="D842" t="str">
        <x:v>H01</x:v>
      </x:c>
      <x:c r="E842" t="n">
        <x:v>0</x:v>
      </x:c>
      <x:c r="F842" t="n">
        <x:v>2</x:v>
      </x:c>
      <x:c r="G842" t="n">
        <x:f>F842-E842</x:f>
        <x:v>2</x:v>
      </x:c>
      <x:c r="H842" s="2" t="n">
        <x:f>IFERROR(E842/F842,0)</x:f>
        <x:v>0</x:v>
      </x:c>
      <x:c r="I842" t="str">
        <x:v>Defasagem</x:v>
      </x:c>
      <x:c r="J842" t="str">
        <x:v>CAEd_DadosExportados (2).zip</x:v>
      </x:c>
    </x:row>
    <x:row r="843">
      <x:c r="A843" t="str">
        <x:v>2A020</x:v>
      </x:c>
      <x:c r="B843" t="str">
        <x:v>2º ano</x:v>
      </x:c>
      <x:c r="C843" t="str">
        <x:v>contraprova</x:v>
      </x:c>
      <x:c r="D843" t="str">
        <x:v>H02</x:v>
      </x:c>
      <x:c r="E843" t="n">
        <x:v>1</x:v>
      </x:c>
      <x:c r="F843" t="n">
        <x:v>2</x:v>
      </x:c>
      <x:c r="G843" t="n">
        <x:f>F843-E843</x:f>
        <x:v>1</x:v>
      </x:c>
      <x:c r="H843" s="2" t="n">
        <x:f>IFERROR(E843/F843,0)</x:f>
        <x:v>0.5</x:v>
      </x:c>
      <x:c r="I843" t="str">
        <x:v>Defasagem</x:v>
      </x:c>
      <x:c r="J843" t="str">
        <x:v>CAEd_DadosExportados (2).zip</x:v>
      </x:c>
    </x:row>
    <x:row r="844">
      <x:c r="A844" t="str">
        <x:v>2A020</x:v>
      </x:c>
      <x:c r="B844" t="str">
        <x:v>2º ano</x:v>
      </x:c>
      <x:c r="C844" t="str">
        <x:v>contraprova</x:v>
      </x:c>
      <x:c r="D844" t="str">
        <x:v>H03</x:v>
      </x:c>
      <x:c r="E844" t="n">
        <x:v>0</x:v>
      </x:c>
      <x:c r="F844" t="n">
        <x:v>2</x:v>
      </x:c>
      <x:c r="G844" t="n">
        <x:f>F844-E844</x:f>
        <x:v>2</x:v>
      </x:c>
      <x:c r="H844" s="2" t="n">
        <x:f>IFERROR(E844/F844,0)</x:f>
        <x:v>0</x:v>
      </x:c>
      <x:c r="I844" t="str">
        <x:v>Defasagem</x:v>
      </x:c>
      <x:c r="J844" t="str">
        <x:v>CAEd_DadosExportados (2).zip</x:v>
      </x:c>
    </x:row>
    <x:row r="845">
      <x:c r="A845" t="str">
        <x:v>2A020</x:v>
      </x:c>
      <x:c r="B845" t="str">
        <x:v>2º ano</x:v>
      </x:c>
      <x:c r="C845" t="str">
        <x:v>contraprova</x:v>
      </x:c>
      <x:c r="D845" t="str">
        <x:v>H04</x:v>
      </x:c>
      <x:c r="E845" t="n">
        <x:v>0</x:v>
      </x:c>
      <x:c r="F845" t="n">
        <x:v>2</x:v>
      </x:c>
      <x:c r="G845" t="n">
        <x:f>F845-E845</x:f>
        <x:v>2</x:v>
      </x:c>
      <x:c r="H845" s="2" t="n">
        <x:f>IFERROR(E845/F845,0)</x:f>
        <x:v>0</x:v>
      </x:c>
      <x:c r="I845" t="str">
        <x:v>Defasagem</x:v>
      </x:c>
      <x:c r="J845" t="str">
        <x:v>CAEd_DadosExportados (2).zip</x:v>
      </x:c>
    </x:row>
    <x:row r="846">
      <x:c r="A846" t="str">
        <x:v>2A020</x:v>
      </x:c>
      <x:c r="B846" t="str">
        <x:v>2º ano</x:v>
      </x:c>
      <x:c r="C846" t="str">
        <x:v>contraprova</x:v>
      </x:c>
      <x:c r="D846" t="str">
        <x:v>H05</x:v>
      </x:c>
      <x:c r="E846" t="n">
        <x:v>1</x:v>
      </x:c>
      <x:c r="F846" t="n">
        <x:v>2</x:v>
      </x:c>
      <x:c r="G846" t="n">
        <x:f>F846-E846</x:f>
        <x:v>1</x:v>
      </x:c>
      <x:c r="H846" s="2" t="n">
        <x:f>IFERROR(E846/F846,0)</x:f>
        <x:v>0.5</x:v>
      </x:c>
      <x:c r="I846" t="str">
        <x:v>Defasagem</x:v>
      </x:c>
      <x:c r="J846" t="str">
        <x:v>CAEd_DadosExportados (2).zip</x:v>
      </x:c>
    </x:row>
    <x:row r="847">
      <x:c r="A847" t="str">
        <x:v>2A020</x:v>
      </x:c>
      <x:c r="B847" t="str">
        <x:v>2º ano</x:v>
      </x:c>
      <x:c r="C847" t="str">
        <x:v>contraprova</x:v>
      </x:c>
      <x:c r="D847" t="str">
        <x:v>H06</x:v>
      </x:c>
      <x:c r="E847" t="n">
        <x:v>1</x:v>
      </x:c>
      <x:c r="F847" t="n">
        <x:v>2</x:v>
      </x:c>
      <x:c r="G847" t="n">
        <x:f>F847-E847</x:f>
        <x:v>1</x:v>
      </x:c>
      <x:c r="H847" s="2" t="n">
        <x:f>IFERROR(E847/F847,0)</x:f>
        <x:v>0.5</x:v>
      </x:c>
      <x:c r="I847" t="str">
        <x:v>Defasagem</x:v>
      </x:c>
      <x:c r="J847" t="str">
        <x:v>CAEd_DadosExportados (2).zip</x:v>
      </x:c>
    </x:row>
    <x:row r="848">
      <x:c r="A848" t="str">
        <x:v>2A020</x:v>
      </x:c>
      <x:c r="B848" t="str">
        <x:v>2º ano</x:v>
      </x:c>
      <x:c r="C848" t="str">
        <x:v>contraprova</x:v>
      </x:c>
      <x:c r="D848" t="str">
        <x:v>H07</x:v>
      </x:c>
      <x:c r="E848" t="n">
        <x:v>0</x:v>
      </x:c>
      <x:c r="F848" t="n">
        <x:v>2</x:v>
      </x:c>
      <x:c r="G848" t="n">
        <x:f>F848-E848</x:f>
        <x:v>2</x:v>
      </x:c>
      <x:c r="H848" s="2" t="n">
        <x:f>IFERROR(E848/F848,0)</x:f>
        <x:v>0</x:v>
      </x:c>
      <x:c r="I848" t="str">
        <x:v>Defasagem</x:v>
      </x:c>
      <x:c r="J848" t="str">
        <x:v>CAEd_DadosExportados (2).zip</x:v>
      </x:c>
    </x:row>
    <x:row r="849">
      <x:c r="A849" t="str">
        <x:v>2A020</x:v>
      </x:c>
      <x:c r="B849" t="str">
        <x:v>2º ano</x:v>
      </x:c>
      <x:c r="C849" t="str">
        <x:v>contraprova</x:v>
      </x:c>
      <x:c r="D849" t="str">
        <x:v>H08</x:v>
      </x:c>
      <x:c r="E849" t="n">
        <x:v>2</x:v>
      </x:c>
      <x:c r="F849" t="n">
        <x:v>2</x:v>
      </x:c>
      <x:c r="G849" t="n">
        <x:f>F849-E849</x:f>
        <x:v>0</x:v>
      </x:c>
      <x:c r="H849" s="2" t="n">
        <x:f>IFERROR(E849/F849,0)</x:f>
        <x:v>1</x:v>
      </x:c>
      <x:c r="I849" t="str">
        <x:v>Defasagem</x:v>
      </x:c>
      <x:c r="J849" t="str">
        <x:v>CAEd_DadosExportados (2).zip</x:v>
      </x:c>
    </x:row>
    <x:row r="850">
      <x:c r="A850" t="str">
        <x:v>2A020</x:v>
      </x:c>
      <x:c r="B850" t="str">
        <x:v>2º ano</x:v>
      </x:c>
      <x:c r="C850" t="str">
        <x:v>contraprova</x:v>
      </x:c>
      <x:c r="D850" t="str">
        <x:v>H09</x:v>
      </x:c>
      <x:c r="E850" t="n">
        <x:v>1</x:v>
      </x:c>
      <x:c r="F850" t="n">
        <x:v>2</x:v>
      </x:c>
      <x:c r="G850" t="n">
        <x:f>F850-E850</x:f>
        <x:v>1</x:v>
      </x:c>
      <x:c r="H850" s="2" t="n">
        <x:f>IFERROR(E850/F850,0)</x:f>
        <x:v>0.5</x:v>
      </x:c>
      <x:c r="I850" t="str">
        <x:v>Defasagem</x:v>
      </x:c>
      <x:c r="J850" t="str">
        <x:v>CAEd_DadosExportados (2).zip</x:v>
      </x:c>
    </x:row>
    <x:row r="851">
      <x:c r="A851" t="str">
        <x:v>2A020</x:v>
      </x:c>
      <x:c r="B851" t="str">
        <x:v>2º ano</x:v>
      </x:c>
      <x:c r="C851" t="str">
        <x:v>contraprova</x:v>
      </x:c>
      <x:c r="D851" t="str">
        <x:v>H10</x:v>
      </x:c>
      <x:c r="E851" t="n">
        <x:v>2</x:v>
      </x:c>
      <x:c r="F851" t="n">
        <x:v>2</x:v>
      </x:c>
      <x:c r="G851" t="n">
        <x:f>F851-E851</x:f>
        <x:v>0</x:v>
      </x:c>
      <x:c r="H851" s="2" t="n">
        <x:f>IFERROR(E851/F851,0)</x:f>
        <x:v>1</x:v>
      </x:c>
      <x:c r="I851" t="str">
        <x:v>Defasagem</x:v>
      </x:c>
      <x:c r="J851" t="str">
        <x:v>CAEd_DadosExportados (2).zip</x:v>
      </x:c>
    </x:row>
    <x:row r="852">
      <x:c r="A852" t="str">
        <x:v>2A020</x:v>
      </x:c>
      <x:c r="B852" t="str">
        <x:v>2º ano</x:v>
      </x:c>
      <x:c r="C852" t="str">
        <x:v>contraprova</x:v>
      </x:c>
      <x:c r="D852" t="str">
        <x:v>H11</x:v>
      </x:c>
      <x:c r="E852" t="n">
        <x:v>2</x:v>
      </x:c>
      <x:c r="F852" t="n">
        <x:v>2</x:v>
      </x:c>
      <x:c r="G852" t="n">
        <x:f>F852-E852</x:f>
        <x:v>0</x:v>
      </x:c>
      <x:c r="H852" s="2" t="n">
        <x:f>IFERROR(E852/F852,0)</x:f>
        <x:v>1</x:v>
      </x:c>
      <x:c r="I852" t="str">
        <x:v>Defasagem</x:v>
      </x:c>
      <x:c r="J852" t="str">
        <x:v>CAEd_DadosExportados (2).zip</x:v>
      </x:c>
    </x:row>
    <x:row r="853">
      <x:c r="A853" t="str">
        <x:v>2A021</x:v>
      </x:c>
      <x:c r="B853" t="str">
        <x:v>2º ano</x:v>
      </x:c>
      <x:c r="C853" t="str">
        <x:v>contraprova</x:v>
      </x:c>
      <x:c r="D853" t="str">
        <x:v>H01</x:v>
      </x:c>
      <x:c r="E853" t="n">
        <x:v>0</x:v>
      </x:c>
      <x:c r="F853" t="n">
        <x:v>2</x:v>
      </x:c>
      <x:c r="G853" t="n">
        <x:f>F853-E853</x:f>
        <x:v>2</x:v>
      </x:c>
      <x:c r="H853" s="2" t="n">
        <x:f>IFERROR(E853/F853,0)</x:f>
        <x:v>0</x:v>
      </x:c>
      <x:c r="I853" t="str">
        <x:v>Adequado</x:v>
      </x:c>
      <x:c r="J853" t="str">
        <x:v>CAEd_DadosExportados (2).zip</x:v>
      </x:c>
    </x:row>
    <x:row r="854">
      <x:c r="A854" t="str">
        <x:v>2A021</x:v>
      </x:c>
      <x:c r="B854" t="str">
        <x:v>2º ano</x:v>
      </x:c>
      <x:c r="C854" t="str">
        <x:v>contraprova</x:v>
      </x:c>
      <x:c r="D854" t="str">
        <x:v>H02</x:v>
      </x:c>
      <x:c r="E854" t="n">
        <x:v>0</x:v>
      </x:c>
      <x:c r="F854" t="n">
        <x:v>2</x:v>
      </x:c>
      <x:c r="G854" t="n">
        <x:f>F854-E854</x:f>
        <x:v>2</x:v>
      </x:c>
      <x:c r="H854" s="2" t="n">
        <x:f>IFERROR(E854/F854,0)</x:f>
        <x:v>0</x:v>
      </x:c>
      <x:c r="I854" t="str">
        <x:v>Adequado</x:v>
      </x:c>
      <x:c r="J854" t="str">
        <x:v>CAEd_DadosExportados (2).zip</x:v>
      </x:c>
    </x:row>
    <x:row r="855">
      <x:c r="A855" t="str">
        <x:v>2A021</x:v>
      </x:c>
      <x:c r="B855" t="str">
        <x:v>2º ano</x:v>
      </x:c>
      <x:c r="C855" t="str">
        <x:v>contraprova</x:v>
      </x:c>
      <x:c r="D855" t="str">
        <x:v>H03</x:v>
      </x:c>
      <x:c r="E855" t="n">
        <x:v>2</x:v>
      </x:c>
      <x:c r="F855" t="n">
        <x:v>2</x:v>
      </x:c>
      <x:c r="G855" t="n">
        <x:f>F855-E855</x:f>
        <x:v>0</x:v>
      </x:c>
      <x:c r="H855" s="2" t="n">
        <x:f>IFERROR(E855/F855,0)</x:f>
        <x:v>1</x:v>
      </x:c>
      <x:c r="I855" t="str">
        <x:v>Adequado</x:v>
      </x:c>
      <x:c r="J855" t="str">
        <x:v>CAEd_DadosExportados (2).zip</x:v>
      </x:c>
    </x:row>
    <x:row r="856">
      <x:c r="A856" t="str">
        <x:v>2A021</x:v>
      </x:c>
      <x:c r="B856" t="str">
        <x:v>2º ano</x:v>
      </x:c>
      <x:c r="C856" t="str">
        <x:v>contraprova</x:v>
      </x:c>
      <x:c r="D856" t="str">
        <x:v>H04</x:v>
      </x:c>
      <x:c r="E856" t="n">
        <x:v>2</x:v>
      </x:c>
      <x:c r="F856" t="n">
        <x:v>2</x:v>
      </x:c>
      <x:c r="G856" t="n">
        <x:f>F856-E856</x:f>
        <x:v>0</x:v>
      </x:c>
      <x:c r="H856" s="2" t="n">
        <x:f>IFERROR(E856/F856,0)</x:f>
        <x:v>1</x:v>
      </x:c>
      <x:c r="I856" t="str">
        <x:v>Adequado</x:v>
      </x:c>
      <x:c r="J856" t="str">
        <x:v>CAEd_DadosExportados (2).zip</x:v>
      </x:c>
    </x:row>
    <x:row r="857">
      <x:c r="A857" t="str">
        <x:v>2A021</x:v>
      </x:c>
      <x:c r="B857" t="str">
        <x:v>2º ano</x:v>
      </x:c>
      <x:c r="C857" t="str">
        <x:v>contraprova</x:v>
      </x:c>
      <x:c r="D857" t="str">
        <x:v>H05</x:v>
      </x:c>
      <x:c r="E857" t="n">
        <x:v>2</x:v>
      </x:c>
      <x:c r="F857" t="n">
        <x:v>2</x:v>
      </x:c>
      <x:c r="G857" t="n">
        <x:f>F857-E857</x:f>
        <x:v>0</x:v>
      </x:c>
      <x:c r="H857" s="2" t="n">
        <x:f>IFERROR(E857/F857,0)</x:f>
        <x:v>1</x:v>
      </x:c>
      <x:c r="I857" t="str">
        <x:v>Adequado</x:v>
      </x:c>
      <x:c r="J857" t="str">
        <x:v>CAEd_DadosExportados (2).zip</x:v>
      </x:c>
    </x:row>
    <x:row r="858">
      <x:c r="A858" t="str">
        <x:v>2A021</x:v>
      </x:c>
      <x:c r="B858" t="str">
        <x:v>2º ano</x:v>
      </x:c>
      <x:c r="C858" t="str">
        <x:v>contraprova</x:v>
      </x:c>
      <x:c r="D858" t="str">
        <x:v>H06</x:v>
      </x:c>
      <x:c r="E858" t="n">
        <x:v>2</x:v>
      </x:c>
      <x:c r="F858" t="n">
        <x:v>2</x:v>
      </x:c>
      <x:c r="G858" t="n">
        <x:f>F858-E858</x:f>
        <x:v>0</x:v>
      </x:c>
      <x:c r="H858" s="2" t="n">
        <x:f>IFERROR(E858/F858,0)</x:f>
        <x:v>1</x:v>
      </x:c>
      <x:c r="I858" t="str">
        <x:v>Adequado</x:v>
      </x:c>
      <x:c r="J858" t="str">
        <x:v>CAEd_DadosExportados (2).zip</x:v>
      </x:c>
    </x:row>
    <x:row r="859">
      <x:c r="A859" t="str">
        <x:v>2A021</x:v>
      </x:c>
      <x:c r="B859" t="str">
        <x:v>2º ano</x:v>
      </x:c>
      <x:c r="C859" t="str">
        <x:v>contraprova</x:v>
      </x:c>
      <x:c r="D859" t="str">
        <x:v>H07</x:v>
      </x:c>
      <x:c r="E859" t="n">
        <x:v>1</x:v>
      </x:c>
      <x:c r="F859" t="n">
        <x:v>2</x:v>
      </x:c>
      <x:c r="G859" t="n">
        <x:f>F859-E859</x:f>
        <x:v>1</x:v>
      </x:c>
      <x:c r="H859" s="2" t="n">
        <x:f>IFERROR(E859/F859,0)</x:f>
        <x:v>0.5</x:v>
      </x:c>
      <x:c r="I859" t="str">
        <x:v>Adequado</x:v>
      </x:c>
      <x:c r="J859" t="str">
        <x:v>CAEd_DadosExportados (2).zip</x:v>
      </x:c>
    </x:row>
    <x:row r="860">
      <x:c r="A860" t="str">
        <x:v>2A021</x:v>
      </x:c>
      <x:c r="B860" t="str">
        <x:v>2º ano</x:v>
      </x:c>
      <x:c r="C860" t="str">
        <x:v>contraprova</x:v>
      </x:c>
      <x:c r="D860" t="str">
        <x:v>H08</x:v>
      </x:c>
      <x:c r="E860" t="n">
        <x:v>1</x:v>
      </x:c>
      <x:c r="F860" t="n">
        <x:v>2</x:v>
      </x:c>
      <x:c r="G860" t="n">
        <x:f>F860-E860</x:f>
        <x:v>1</x:v>
      </x:c>
      <x:c r="H860" s="2" t="n">
        <x:f>IFERROR(E860/F860,0)</x:f>
        <x:v>0.5</x:v>
      </x:c>
      <x:c r="I860" t="str">
        <x:v>Adequado</x:v>
      </x:c>
      <x:c r="J860" t="str">
        <x:v>CAEd_DadosExportados (2).zip</x:v>
      </x:c>
    </x:row>
    <x:row r="861">
      <x:c r="A861" t="str">
        <x:v>2A021</x:v>
      </x:c>
      <x:c r="B861" t="str">
        <x:v>2º ano</x:v>
      </x:c>
      <x:c r="C861" t="str">
        <x:v>contraprova</x:v>
      </x:c>
      <x:c r="D861" t="str">
        <x:v>H09</x:v>
      </x:c>
      <x:c r="E861" t="n">
        <x:v>2</x:v>
      </x:c>
      <x:c r="F861" t="n">
        <x:v>2</x:v>
      </x:c>
      <x:c r="G861" t="n">
        <x:f>F861-E861</x:f>
        <x:v>0</x:v>
      </x:c>
      <x:c r="H861" s="2" t="n">
        <x:f>IFERROR(E861/F861,0)</x:f>
        <x:v>1</x:v>
      </x:c>
      <x:c r="I861" t="str">
        <x:v>Adequado</x:v>
      </x:c>
      <x:c r="J861" t="str">
        <x:v>CAEd_DadosExportados (2).zip</x:v>
      </x:c>
    </x:row>
    <x:row r="862">
      <x:c r="A862" t="str">
        <x:v>2A021</x:v>
      </x:c>
      <x:c r="B862" t="str">
        <x:v>2º ano</x:v>
      </x:c>
      <x:c r="C862" t="str">
        <x:v>contraprova</x:v>
      </x:c>
      <x:c r="D862" t="str">
        <x:v>H10</x:v>
      </x:c>
      <x:c r="E862" t="n">
        <x:v>2</x:v>
      </x:c>
      <x:c r="F862" t="n">
        <x:v>2</x:v>
      </x:c>
      <x:c r="G862" t="n">
        <x:f>F862-E862</x:f>
        <x:v>0</x:v>
      </x:c>
      <x:c r="H862" s="2" t="n">
        <x:f>IFERROR(E862/F862,0)</x:f>
        <x:v>1</x:v>
      </x:c>
      <x:c r="I862" t="str">
        <x:v>Adequado</x:v>
      </x:c>
      <x:c r="J862" t="str">
        <x:v>CAEd_DadosExportados (2).zip</x:v>
      </x:c>
    </x:row>
    <x:row r="863">
      <x:c r="A863" t="str">
        <x:v>2A021</x:v>
      </x:c>
      <x:c r="B863" t="str">
        <x:v>2º ano</x:v>
      </x:c>
      <x:c r="C863" t="str">
        <x:v>contraprova</x:v>
      </x:c>
      <x:c r="D863" t="str">
        <x:v>H11</x:v>
      </x:c>
      <x:c r="E863" t="n">
        <x:v>2</x:v>
      </x:c>
      <x:c r="F863" t="n">
        <x:v>2</x:v>
      </x:c>
      <x:c r="G863" t="n">
        <x:f>F863-E863</x:f>
        <x:v>0</x:v>
      </x:c>
      <x:c r="H863" s="2" t="n">
        <x:f>IFERROR(E863/F863,0)</x:f>
        <x:v>1</x:v>
      </x:c>
      <x:c r="I863" t="str">
        <x:v>Adequado</x:v>
      </x:c>
      <x:c r="J863" t="str">
        <x:v>CAEd_DadosExportados (2).zip</x:v>
      </x:c>
    </x:row>
    <x:row r="864">
      <x:c r="A864" t="str">
        <x:v>2A021</x:v>
      </x:c>
      <x:c r="B864" t="str">
        <x:v>2º ano</x:v>
      </x:c>
      <x:c r="C864" t="str">
        <x:v>referencia</x:v>
      </x:c>
      <x:c r="D864" t="str">
        <x:v>H01</x:v>
      </x:c>
      <x:c r="E864" t="n">
        <x:v>1</x:v>
      </x:c>
      <x:c r="F864" t="n">
        <x:v>2</x:v>
      </x:c>
      <x:c r="G864" t="n">
        <x:f>F864-E864</x:f>
        <x:v>1</x:v>
      </x:c>
      <x:c r="H864" s="2" t="n">
        <x:f>IFERROR(E864/F864,0)</x:f>
        <x:v>0.5</x:v>
      </x:c>
      <x:c r="I864" t="str">
        <x:v>Adequado</x:v>
      </x:c>
      <x:c r="J864" t="str">
        <x:v>CAEd_DadosExportados (1).zip</x:v>
      </x:c>
    </x:row>
    <x:row r="865">
      <x:c r="A865" t="str">
        <x:v>2A021</x:v>
      </x:c>
      <x:c r="B865" t="str">
        <x:v>2º ano</x:v>
      </x:c>
      <x:c r="C865" t="str">
        <x:v>referencia</x:v>
      </x:c>
      <x:c r="D865" t="str">
        <x:v>H02</x:v>
      </x:c>
      <x:c r="E865" t="n">
        <x:v>2</x:v>
      </x:c>
      <x:c r="F865" t="n">
        <x:v>2</x:v>
      </x:c>
      <x:c r="G865" t="n">
        <x:f>F865-E865</x:f>
        <x:v>0</x:v>
      </x:c>
      <x:c r="H865" s="2" t="n">
        <x:f>IFERROR(E865/F865,0)</x:f>
        <x:v>1</x:v>
      </x:c>
      <x:c r="I865" t="str">
        <x:v>Adequado</x:v>
      </x:c>
      <x:c r="J865" t="str">
        <x:v>CAEd_DadosExportados (1).zip</x:v>
      </x:c>
    </x:row>
    <x:row r="866">
      <x:c r="A866" t="str">
        <x:v>2A021</x:v>
      </x:c>
      <x:c r="B866" t="str">
        <x:v>2º ano</x:v>
      </x:c>
      <x:c r="C866" t="str">
        <x:v>referencia</x:v>
      </x:c>
      <x:c r="D866" t="str">
        <x:v>H03</x:v>
      </x:c>
      <x:c r="E866" t="n">
        <x:v>2</x:v>
      </x:c>
      <x:c r="F866" t="n">
        <x:v>2</x:v>
      </x:c>
      <x:c r="G866" t="n">
        <x:f>F866-E866</x:f>
        <x:v>0</x:v>
      </x:c>
      <x:c r="H866" s="2" t="n">
        <x:f>IFERROR(E866/F866,0)</x:f>
        <x:v>1</x:v>
      </x:c>
      <x:c r="I866" t="str">
        <x:v>Adequado</x:v>
      </x:c>
      <x:c r="J866" t="str">
        <x:v>CAEd_DadosExportados (1).zip</x:v>
      </x:c>
    </x:row>
    <x:row r="867">
      <x:c r="A867" t="str">
        <x:v>2A021</x:v>
      </x:c>
      <x:c r="B867" t="str">
        <x:v>2º ano</x:v>
      </x:c>
      <x:c r="C867" t="str">
        <x:v>referencia</x:v>
      </x:c>
      <x:c r="D867" t="str">
        <x:v>H04</x:v>
      </x:c>
      <x:c r="E867" t="n">
        <x:v>2</x:v>
      </x:c>
      <x:c r="F867" t="n">
        <x:v>2</x:v>
      </x:c>
      <x:c r="G867" t="n">
        <x:f>F867-E867</x:f>
        <x:v>0</x:v>
      </x:c>
      <x:c r="H867" s="2" t="n">
        <x:f>IFERROR(E867/F867,0)</x:f>
        <x:v>1</x:v>
      </x:c>
      <x:c r="I867" t="str">
        <x:v>Adequado</x:v>
      </x:c>
      <x:c r="J867" t="str">
        <x:v>CAEd_DadosExportados (1).zip</x:v>
      </x:c>
    </x:row>
    <x:row r="868">
      <x:c r="A868" t="str">
        <x:v>2A021</x:v>
      </x:c>
      <x:c r="B868" t="str">
        <x:v>2º ano</x:v>
      </x:c>
      <x:c r="C868" t="str">
        <x:v>referencia</x:v>
      </x:c>
      <x:c r="D868" t="str">
        <x:v>H05</x:v>
      </x:c>
      <x:c r="E868" t="n">
        <x:v>1</x:v>
      </x:c>
      <x:c r="F868" t="n">
        <x:v>1</x:v>
      </x:c>
      <x:c r="G868" t="n">
        <x:f>F868-E868</x:f>
        <x:v>0</x:v>
      </x:c>
      <x:c r="H868" s="2" t="n">
        <x:f>IFERROR(E868/F868,0)</x:f>
        <x:v>1</x:v>
      </x:c>
      <x:c r="I868" t="str">
        <x:v>Adequado</x:v>
      </x:c>
      <x:c r="J868" t="str">
        <x:v>CAEd_DadosExportados (1).zip</x:v>
      </x:c>
    </x:row>
    <x:row r="869">
      <x:c r="A869" t="str">
        <x:v>2A021</x:v>
      </x:c>
      <x:c r="B869" t="str">
        <x:v>2º ano</x:v>
      </x:c>
      <x:c r="C869" t="str">
        <x:v>referencia</x:v>
      </x:c>
      <x:c r="D869" t="str">
        <x:v>H06</x:v>
      </x:c>
      <x:c r="E869" t="n">
        <x:v>2</x:v>
      </x:c>
      <x:c r="F869" t="n">
        <x:v>2</x:v>
      </x:c>
      <x:c r="G869" t="n">
        <x:f>F869-E869</x:f>
        <x:v>0</x:v>
      </x:c>
      <x:c r="H869" s="2" t="n">
        <x:f>IFERROR(E869/F869,0)</x:f>
        <x:v>1</x:v>
      </x:c>
      <x:c r="I869" t="str">
        <x:v>Adequado</x:v>
      </x:c>
      <x:c r="J869" t="str">
        <x:v>CAEd_DadosExportados (1).zip</x:v>
      </x:c>
    </x:row>
    <x:row r="870">
      <x:c r="A870" t="str">
        <x:v>2A021</x:v>
      </x:c>
      <x:c r="B870" t="str">
        <x:v>2º ano</x:v>
      </x:c>
      <x:c r="C870" t="str">
        <x:v>referencia</x:v>
      </x:c>
      <x:c r="D870" t="str">
        <x:v>H07</x:v>
      </x:c>
      <x:c r="E870" t="n">
        <x:v>1</x:v>
      </x:c>
      <x:c r="F870" t="n">
        <x:v>2</x:v>
      </x:c>
      <x:c r="G870" t="n">
        <x:f>F870-E870</x:f>
        <x:v>1</x:v>
      </x:c>
      <x:c r="H870" s="2" t="n">
        <x:f>IFERROR(E870/F870,0)</x:f>
        <x:v>0.5</x:v>
      </x:c>
      <x:c r="I870" t="str">
        <x:v>Adequado</x:v>
      </x:c>
      <x:c r="J870" t="str">
        <x:v>CAEd_DadosExportados (1).zip</x:v>
      </x:c>
    </x:row>
    <x:row r="871">
      <x:c r="A871" t="str">
        <x:v>2A021</x:v>
      </x:c>
      <x:c r="B871" t="str">
        <x:v>2º ano</x:v>
      </x:c>
      <x:c r="C871" t="str">
        <x:v>referencia</x:v>
      </x:c>
      <x:c r="D871" t="str">
        <x:v>H08</x:v>
      </x:c>
      <x:c r="E871" t="n">
        <x:v>2</x:v>
      </x:c>
      <x:c r="F871" t="n">
        <x:v>2</x:v>
      </x:c>
      <x:c r="G871" t="n">
        <x:f>F871-E871</x:f>
        <x:v>0</x:v>
      </x:c>
      <x:c r="H871" s="2" t="n">
        <x:f>IFERROR(E871/F871,0)</x:f>
        <x:v>1</x:v>
      </x:c>
      <x:c r="I871" t="str">
        <x:v>Adequado</x:v>
      </x:c>
      <x:c r="J871" t="str">
        <x:v>CAEd_DadosExportados (1).zip</x:v>
      </x:c>
    </x:row>
    <x:row r="872">
      <x:c r="A872" t="str">
        <x:v>2A021</x:v>
      </x:c>
      <x:c r="B872" t="str">
        <x:v>2º ano</x:v>
      </x:c>
      <x:c r="C872" t="str">
        <x:v>referencia</x:v>
      </x:c>
      <x:c r="D872" t="str">
        <x:v>H09</x:v>
      </x:c>
      <x:c r="E872" t="n">
        <x:v>2</x:v>
      </x:c>
      <x:c r="F872" t="n">
        <x:v>2</x:v>
      </x:c>
      <x:c r="G872" t="n">
        <x:f>F872-E872</x:f>
        <x:v>0</x:v>
      </x:c>
      <x:c r="H872" s="2" t="n">
        <x:f>IFERROR(E872/F872,0)</x:f>
        <x:v>1</x:v>
      </x:c>
      <x:c r="I872" t="str">
        <x:v>Adequado</x:v>
      </x:c>
      <x:c r="J872" t="str">
        <x:v>CAEd_DadosExportados (1).zip</x:v>
      </x:c>
    </x:row>
    <x:row r="873">
      <x:c r="A873" t="str">
        <x:v>2A021</x:v>
      </x:c>
      <x:c r="B873" t="str">
        <x:v>2º ano</x:v>
      </x:c>
      <x:c r="C873" t="str">
        <x:v>referencia</x:v>
      </x:c>
      <x:c r="D873" t="str">
        <x:v>H10</x:v>
      </x:c>
      <x:c r="E873" t="n">
        <x:v>1</x:v>
      </x:c>
      <x:c r="F873" t="n">
        <x:v>1</x:v>
      </x:c>
      <x:c r="G873" t="n">
        <x:f>F873-E873</x:f>
        <x:v>0</x:v>
      </x:c>
      <x:c r="H873" s="2" t="n">
        <x:f>IFERROR(E873/F873,0)</x:f>
        <x:v>1</x:v>
      </x:c>
      <x:c r="I873" t="str">
        <x:v>Adequado</x:v>
      </x:c>
      <x:c r="J873" t="str">
        <x:v>CAEd_DadosExportados (1).zip</x:v>
      </x:c>
    </x:row>
    <x:row r="874">
      <x:c r="A874" t="str">
        <x:v>2A021</x:v>
      </x:c>
      <x:c r="B874" t="str">
        <x:v>2º ano</x:v>
      </x:c>
      <x:c r="C874" t="str">
        <x:v>referencia</x:v>
      </x:c>
      <x:c r="D874" t="str">
        <x:v>H11</x:v>
      </x:c>
      <x:c r="E874" t="n">
        <x:v>1</x:v>
      </x:c>
      <x:c r="F874" t="n">
        <x:v>2</x:v>
      </x:c>
      <x:c r="G874" t="n">
        <x:f>F874-E874</x:f>
        <x:v>1</x:v>
      </x:c>
      <x:c r="H874" s="2" t="n">
        <x:f>IFERROR(E874/F874,0)</x:f>
        <x:v>0.5</x:v>
      </x:c>
      <x:c r="I874" t="str">
        <x:v>Adequado</x:v>
      </x:c>
      <x:c r="J874" t="str">
        <x:v>CAEd_DadosExportados (1).zip</x:v>
      </x:c>
    </x:row>
    <x:row r="875">
      <x:c r="A875" t="str">
        <x:v>2A021</x:v>
      </x:c>
      <x:c r="B875" t="str">
        <x:v>2º ano</x:v>
      </x:c>
      <x:c r="C875" t="str">
        <x:v>referencia</x:v>
      </x:c>
      <x:c r="D875" t="str">
        <x:v>H12</x:v>
      </x:c>
      <x:c r="E875" t="n">
        <x:v>0</x:v>
      </x:c>
      <x:c r="F875" t="n">
        <x:v>1</x:v>
      </x:c>
      <x:c r="G875" t="n">
        <x:f>F875-E875</x:f>
        <x:v>1</x:v>
      </x:c>
      <x:c r="H875" s="2" t="n">
        <x:f>IFERROR(E875/F875,0)</x:f>
        <x:v>0</x:v>
      </x:c>
      <x:c r="I875" t="str">
        <x:v>Adequado</x:v>
      </x:c>
      <x:c r="J875" t="str">
        <x:v>CAEd_DadosExportados (1).zip</x:v>
      </x:c>
    </x:row>
    <x:row r="876">
      <x:c r="A876" t="str">
        <x:v>2A021</x:v>
      </x:c>
      <x:c r="B876" t="str">
        <x:v>2º ano</x:v>
      </x:c>
      <x:c r="C876" t="str">
        <x:v>referencia</x:v>
      </x:c>
      <x:c r="D876" t="str">
        <x:v>H13</x:v>
      </x:c>
      <x:c r="E876" t="n">
        <x:v>0</x:v>
      </x:c>
      <x:c r="F876" t="n">
        <x:v>1</x:v>
      </x:c>
      <x:c r="G876" t="n">
        <x:f>F876-E876</x:f>
        <x:v>1</x:v>
      </x:c>
      <x:c r="H876" s="2" t="n">
        <x:f>IFERROR(E876/F876,0)</x:f>
        <x:v>0</x:v>
      </x:c>
      <x:c r="I876" t="str">
        <x:v>Adequado</x:v>
      </x:c>
      <x:c r="J876" t="str">
        <x:v>CAEd_DadosExportados (1).zip</x:v>
      </x:c>
    </x:row>
    <x:row r="877">
      <x:c r="A877" t="str">
        <x:v>2A022</x:v>
      </x:c>
      <x:c r="B877" t="str">
        <x:v>2º ano</x:v>
      </x:c>
      <x:c r="C877" t="str">
        <x:v>contraprova</x:v>
      </x:c>
      <x:c r="D877" t="str">
        <x:v>H01</x:v>
      </x:c>
      <x:c r="E877" t="n">
        <x:v>0</x:v>
      </x:c>
      <x:c r="F877" t="n">
        <x:v>2</x:v>
      </x:c>
      <x:c r="G877" t="n">
        <x:f>F877-E877</x:f>
        <x:v>2</x:v>
      </x:c>
      <x:c r="H877" s="2" t="n">
        <x:f>IFERROR(E877/F877,0)</x:f>
        <x:v>0</x:v>
      </x:c>
      <x:c r="I877" t="str">
        <x:v>Adequado</x:v>
      </x:c>
      <x:c r="J877" t="str">
        <x:v>CAEd_DadosExportados (2).zip</x:v>
      </x:c>
    </x:row>
    <x:row r="878">
      <x:c r="A878" t="str">
        <x:v>2A022</x:v>
      </x:c>
      <x:c r="B878" t="str">
        <x:v>2º ano</x:v>
      </x:c>
      <x:c r="C878" t="str">
        <x:v>contraprova</x:v>
      </x:c>
      <x:c r="D878" t="str">
        <x:v>H02</x:v>
      </x:c>
      <x:c r="E878" t="n">
        <x:v>2</x:v>
      </x:c>
      <x:c r="F878" t="n">
        <x:v>2</x:v>
      </x:c>
      <x:c r="G878" t="n">
        <x:f>F878-E878</x:f>
        <x:v>0</x:v>
      </x:c>
      <x:c r="H878" s="2" t="n">
        <x:f>IFERROR(E878/F878,0)</x:f>
        <x:v>1</x:v>
      </x:c>
      <x:c r="I878" t="str">
        <x:v>Adequado</x:v>
      </x:c>
      <x:c r="J878" t="str">
        <x:v>CAEd_DadosExportados (2).zip</x:v>
      </x:c>
    </x:row>
    <x:row r="879">
      <x:c r="A879" t="str">
        <x:v>2A022</x:v>
      </x:c>
      <x:c r="B879" t="str">
        <x:v>2º ano</x:v>
      </x:c>
      <x:c r="C879" t="str">
        <x:v>contraprova</x:v>
      </x:c>
      <x:c r="D879" t="str">
        <x:v>H03</x:v>
      </x:c>
      <x:c r="E879" t="n">
        <x:v>2</x:v>
      </x:c>
      <x:c r="F879" t="n">
        <x:v>2</x:v>
      </x:c>
      <x:c r="G879" t="n">
        <x:f>F879-E879</x:f>
        <x:v>0</x:v>
      </x:c>
      <x:c r="H879" s="2" t="n">
        <x:f>IFERROR(E879/F879,0)</x:f>
        <x:v>1</x:v>
      </x:c>
      <x:c r="I879" t="str">
        <x:v>Adequado</x:v>
      </x:c>
      <x:c r="J879" t="str">
        <x:v>CAEd_DadosExportados (2).zip</x:v>
      </x:c>
    </x:row>
    <x:row r="880">
      <x:c r="A880" t="str">
        <x:v>2A022</x:v>
      </x:c>
      <x:c r="B880" t="str">
        <x:v>2º ano</x:v>
      </x:c>
      <x:c r="C880" t="str">
        <x:v>contraprova</x:v>
      </x:c>
      <x:c r="D880" t="str">
        <x:v>H04</x:v>
      </x:c>
      <x:c r="E880" t="n">
        <x:v>2</x:v>
      </x:c>
      <x:c r="F880" t="n">
        <x:v>2</x:v>
      </x:c>
      <x:c r="G880" t="n">
        <x:f>F880-E880</x:f>
        <x:v>0</x:v>
      </x:c>
      <x:c r="H880" s="2" t="n">
        <x:f>IFERROR(E880/F880,0)</x:f>
        <x:v>1</x:v>
      </x:c>
      <x:c r="I880" t="str">
        <x:v>Adequado</x:v>
      </x:c>
      <x:c r="J880" t="str">
        <x:v>CAEd_DadosExportados (2).zip</x:v>
      </x:c>
    </x:row>
    <x:row r="881">
      <x:c r="A881" t="str">
        <x:v>2A022</x:v>
      </x:c>
      <x:c r="B881" t="str">
        <x:v>2º ano</x:v>
      </x:c>
      <x:c r="C881" t="str">
        <x:v>contraprova</x:v>
      </x:c>
      <x:c r="D881" t="str">
        <x:v>H05</x:v>
      </x:c>
      <x:c r="E881" t="n">
        <x:v>1</x:v>
      </x:c>
      <x:c r="F881" t="n">
        <x:v>2</x:v>
      </x:c>
      <x:c r="G881" t="n">
        <x:f>F881-E881</x:f>
        <x:v>1</x:v>
      </x:c>
      <x:c r="H881" s="2" t="n">
        <x:f>IFERROR(E881/F881,0)</x:f>
        <x:v>0.5</x:v>
      </x:c>
      <x:c r="I881" t="str">
        <x:v>Adequado</x:v>
      </x:c>
      <x:c r="J881" t="str">
        <x:v>CAEd_DadosExportados (2).zip</x:v>
      </x:c>
    </x:row>
    <x:row r="882">
      <x:c r="A882" t="str">
        <x:v>2A022</x:v>
      </x:c>
      <x:c r="B882" t="str">
        <x:v>2º ano</x:v>
      </x:c>
      <x:c r="C882" t="str">
        <x:v>contraprova</x:v>
      </x:c>
      <x:c r="D882" t="str">
        <x:v>H06</x:v>
      </x:c>
      <x:c r="E882" t="n">
        <x:v>2</x:v>
      </x:c>
      <x:c r="F882" t="n">
        <x:v>2</x:v>
      </x:c>
      <x:c r="G882" t="n">
        <x:f>F882-E882</x:f>
        <x:v>0</x:v>
      </x:c>
      <x:c r="H882" s="2" t="n">
        <x:f>IFERROR(E882/F882,0)</x:f>
        <x:v>1</x:v>
      </x:c>
      <x:c r="I882" t="str">
        <x:v>Adequado</x:v>
      </x:c>
      <x:c r="J882" t="str">
        <x:v>CAEd_DadosExportados (2).zip</x:v>
      </x:c>
    </x:row>
    <x:row r="883">
      <x:c r="A883" t="str">
        <x:v>2A022</x:v>
      </x:c>
      <x:c r="B883" t="str">
        <x:v>2º ano</x:v>
      </x:c>
      <x:c r="C883" t="str">
        <x:v>contraprova</x:v>
      </x:c>
      <x:c r="D883" t="str">
        <x:v>H07</x:v>
      </x:c>
      <x:c r="E883" t="n">
        <x:v>1</x:v>
      </x:c>
      <x:c r="F883" t="n">
        <x:v>2</x:v>
      </x:c>
      <x:c r="G883" t="n">
        <x:f>F883-E883</x:f>
        <x:v>1</x:v>
      </x:c>
      <x:c r="H883" s="2" t="n">
        <x:f>IFERROR(E883/F883,0)</x:f>
        <x:v>0.5</x:v>
      </x:c>
      <x:c r="I883" t="str">
        <x:v>Adequado</x:v>
      </x:c>
      <x:c r="J883" t="str">
        <x:v>CAEd_DadosExportados (2).zip</x:v>
      </x:c>
    </x:row>
    <x:row r="884">
      <x:c r="A884" t="str">
        <x:v>2A022</x:v>
      </x:c>
      <x:c r="B884" t="str">
        <x:v>2º ano</x:v>
      </x:c>
      <x:c r="C884" t="str">
        <x:v>contraprova</x:v>
      </x:c>
      <x:c r="D884" t="str">
        <x:v>H08</x:v>
      </x:c>
      <x:c r="E884" t="n">
        <x:v>1</x:v>
      </x:c>
      <x:c r="F884" t="n">
        <x:v>2</x:v>
      </x:c>
      <x:c r="G884" t="n">
        <x:f>F884-E884</x:f>
        <x:v>1</x:v>
      </x:c>
      <x:c r="H884" s="2" t="n">
        <x:f>IFERROR(E884/F884,0)</x:f>
        <x:v>0.5</x:v>
      </x:c>
      <x:c r="I884" t="str">
        <x:v>Adequado</x:v>
      </x:c>
      <x:c r="J884" t="str">
        <x:v>CAEd_DadosExportados (2).zip</x:v>
      </x:c>
    </x:row>
    <x:row r="885">
      <x:c r="A885" t="str">
        <x:v>2A022</x:v>
      </x:c>
      <x:c r="B885" t="str">
        <x:v>2º ano</x:v>
      </x:c>
      <x:c r="C885" t="str">
        <x:v>contraprova</x:v>
      </x:c>
      <x:c r="D885" t="str">
        <x:v>H09</x:v>
      </x:c>
      <x:c r="E885" t="n">
        <x:v>2</x:v>
      </x:c>
      <x:c r="F885" t="n">
        <x:v>2</x:v>
      </x:c>
      <x:c r="G885" t="n">
        <x:f>F885-E885</x:f>
        <x:v>0</x:v>
      </x:c>
      <x:c r="H885" s="2" t="n">
        <x:f>IFERROR(E885/F885,0)</x:f>
        <x:v>1</x:v>
      </x:c>
      <x:c r="I885" t="str">
        <x:v>Adequado</x:v>
      </x:c>
      <x:c r="J885" t="str">
        <x:v>CAEd_DadosExportados (2).zip</x:v>
      </x:c>
    </x:row>
    <x:row r="886">
      <x:c r="A886" t="str">
        <x:v>2A022</x:v>
      </x:c>
      <x:c r="B886" t="str">
        <x:v>2º ano</x:v>
      </x:c>
      <x:c r="C886" t="str">
        <x:v>contraprova</x:v>
      </x:c>
      <x:c r="D886" t="str">
        <x:v>H10</x:v>
      </x:c>
      <x:c r="E886" t="n">
        <x:v>2</x:v>
      </x:c>
      <x:c r="F886" t="n">
        <x:v>2</x:v>
      </x:c>
      <x:c r="G886" t="n">
        <x:f>F886-E886</x:f>
        <x:v>0</x:v>
      </x:c>
      <x:c r="H886" s="2" t="n">
        <x:f>IFERROR(E886/F886,0)</x:f>
        <x:v>1</x:v>
      </x:c>
      <x:c r="I886" t="str">
        <x:v>Adequado</x:v>
      </x:c>
      <x:c r="J886" t="str">
        <x:v>CAEd_DadosExportados (2).zip</x:v>
      </x:c>
    </x:row>
    <x:row r="887">
      <x:c r="A887" t="str">
        <x:v>2A022</x:v>
      </x:c>
      <x:c r="B887" t="str">
        <x:v>2º ano</x:v>
      </x:c>
      <x:c r="C887" t="str">
        <x:v>contraprova</x:v>
      </x:c>
      <x:c r="D887" t="str">
        <x:v>H11</x:v>
      </x:c>
      <x:c r="E887" t="n">
        <x:v>2</x:v>
      </x:c>
      <x:c r="F887" t="n">
        <x:v>2</x:v>
      </x:c>
      <x:c r="G887" t="n">
        <x:f>F887-E887</x:f>
        <x:v>0</x:v>
      </x:c>
      <x:c r="H887" s="2" t="n">
        <x:f>IFERROR(E887/F887,0)</x:f>
        <x:v>1</x:v>
      </x:c>
      <x:c r="I887" t="str">
        <x:v>Adequado</x:v>
      </x:c>
      <x:c r="J887" t="str">
        <x:v>CAEd_DadosExportados (2).zip</x:v>
      </x:c>
    </x:row>
    <x:row r="888">
      <x:c r="A888" t="str">
        <x:v>2A022</x:v>
      </x:c>
      <x:c r="B888" t="str">
        <x:v>2º ano</x:v>
      </x:c>
      <x:c r="C888" t="str">
        <x:v>referencia</x:v>
      </x:c>
      <x:c r="D888" t="str">
        <x:v>H01</x:v>
      </x:c>
      <x:c r="E888" t="n">
        <x:v>1</x:v>
      </x:c>
      <x:c r="F888" t="n">
        <x:v>2</x:v>
      </x:c>
      <x:c r="G888" t="n">
        <x:f>F888-E888</x:f>
        <x:v>1</x:v>
      </x:c>
      <x:c r="H888" s="2" t="n">
        <x:f>IFERROR(E888/F888,0)</x:f>
        <x:v>0.5</x:v>
      </x:c>
      <x:c r="I888" t="str">
        <x:v>Adequado</x:v>
      </x:c>
      <x:c r="J888" t="str">
        <x:v>CAEd_DadosExportados (1).zip</x:v>
      </x:c>
    </x:row>
    <x:row r="889">
      <x:c r="A889" t="str">
        <x:v>2A022</x:v>
      </x:c>
      <x:c r="B889" t="str">
        <x:v>2º ano</x:v>
      </x:c>
      <x:c r="C889" t="str">
        <x:v>referencia</x:v>
      </x:c>
      <x:c r="D889" t="str">
        <x:v>H02</x:v>
      </x:c>
      <x:c r="E889" t="n">
        <x:v>2</x:v>
      </x:c>
      <x:c r="F889" t="n">
        <x:v>2</x:v>
      </x:c>
      <x:c r="G889" t="n">
        <x:f>F889-E889</x:f>
        <x:v>0</x:v>
      </x:c>
      <x:c r="H889" s="2" t="n">
        <x:f>IFERROR(E889/F889,0)</x:f>
        <x:v>1</x:v>
      </x:c>
      <x:c r="I889" t="str">
        <x:v>Adequado</x:v>
      </x:c>
      <x:c r="J889" t="str">
        <x:v>CAEd_DadosExportados (1).zip</x:v>
      </x:c>
    </x:row>
    <x:row r="890">
      <x:c r="A890" t="str">
        <x:v>2A022</x:v>
      </x:c>
      <x:c r="B890" t="str">
        <x:v>2º ano</x:v>
      </x:c>
      <x:c r="C890" t="str">
        <x:v>referencia</x:v>
      </x:c>
      <x:c r="D890" t="str">
        <x:v>H03</x:v>
      </x:c>
      <x:c r="E890" t="n">
        <x:v>2</x:v>
      </x:c>
      <x:c r="F890" t="n">
        <x:v>2</x:v>
      </x:c>
      <x:c r="G890" t="n">
        <x:f>F890-E890</x:f>
        <x:v>0</x:v>
      </x:c>
      <x:c r="H890" s="2" t="n">
        <x:f>IFERROR(E890/F890,0)</x:f>
        <x:v>1</x:v>
      </x:c>
      <x:c r="I890" t="str">
        <x:v>Adequado</x:v>
      </x:c>
      <x:c r="J890" t="str">
        <x:v>CAEd_DadosExportados (1).zip</x:v>
      </x:c>
    </x:row>
    <x:row r="891">
      <x:c r="A891" t="str">
        <x:v>2A022</x:v>
      </x:c>
      <x:c r="B891" t="str">
        <x:v>2º ano</x:v>
      </x:c>
      <x:c r="C891" t="str">
        <x:v>referencia</x:v>
      </x:c>
      <x:c r="D891" t="str">
        <x:v>H04</x:v>
      </x:c>
      <x:c r="E891" t="n">
        <x:v>2</x:v>
      </x:c>
      <x:c r="F891" t="n">
        <x:v>2</x:v>
      </x:c>
      <x:c r="G891" t="n">
        <x:f>F891-E891</x:f>
        <x:v>0</x:v>
      </x:c>
      <x:c r="H891" s="2" t="n">
        <x:f>IFERROR(E891/F891,0)</x:f>
        <x:v>1</x:v>
      </x:c>
      <x:c r="I891" t="str">
        <x:v>Adequado</x:v>
      </x:c>
      <x:c r="J891" t="str">
        <x:v>CAEd_DadosExportados (1).zip</x:v>
      </x:c>
    </x:row>
    <x:row r="892">
      <x:c r="A892" t="str">
        <x:v>2A022</x:v>
      </x:c>
      <x:c r="B892" t="str">
        <x:v>2º ano</x:v>
      </x:c>
      <x:c r="C892" t="str">
        <x:v>referencia</x:v>
      </x:c>
      <x:c r="D892" t="str">
        <x:v>H05</x:v>
      </x:c>
      <x:c r="E892" t="n">
        <x:v>1</x:v>
      </x:c>
      <x:c r="F892" t="n">
        <x:v>1</x:v>
      </x:c>
      <x:c r="G892" t="n">
        <x:f>F892-E892</x:f>
        <x:v>0</x:v>
      </x:c>
      <x:c r="H892" s="2" t="n">
        <x:f>IFERROR(E892/F892,0)</x:f>
        <x:v>1</x:v>
      </x:c>
      <x:c r="I892" t="str">
        <x:v>Adequado</x:v>
      </x:c>
      <x:c r="J892" t="str">
        <x:v>CAEd_DadosExportados (1).zip</x:v>
      </x:c>
    </x:row>
    <x:row r="893">
      <x:c r="A893" t="str">
        <x:v>2A022</x:v>
      </x:c>
      <x:c r="B893" t="str">
        <x:v>2º ano</x:v>
      </x:c>
      <x:c r="C893" t="str">
        <x:v>referencia</x:v>
      </x:c>
      <x:c r="D893" t="str">
        <x:v>H06</x:v>
      </x:c>
      <x:c r="E893" t="n">
        <x:v>1</x:v>
      </x:c>
      <x:c r="F893" t="n">
        <x:v>2</x:v>
      </x:c>
      <x:c r="G893" t="n">
        <x:f>F893-E893</x:f>
        <x:v>1</x:v>
      </x:c>
      <x:c r="H893" s="2" t="n">
        <x:f>IFERROR(E893/F893,0)</x:f>
        <x:v>0.5</x:v>
      </x:c>
      <x:c r="I893" t="str">
        <x:v>Adequado</x:v>
      </x:c>
      <x:c r="J893" t="str">
        <x:v>CAEd_DadosExportados (1).zip</x:v>
      </x:c>
    </x:row>
    <x:row r="894">
      <x:c r="A894" t="str">
        <x:v>2A022</x:v>
      </x:c>
      <x:c r="B894" t="str">
        <x:v>2º ano</x:v>
      </x:c>
      <x:c r="C894" t="str">
        <x:v>referencia</x:v>
      </x:c>
      <x:c r="D894" t="str">
        <x:v>H07</x:v>
      </x:c>
      <x:c r="E894" t="n">
        <x:v>2</x:v>
      </x:c>
      <x:c r="F894" t="n">
        <x:v>2</x:v>
      </x:c>
      <x:c r="G894" t="n">
        <x:f>F894-E894</x:f>
        <x:v>0</x:v>
      </x:c>
      <x:c r="H894" s="2" t="n">
        <x:f>IFERROR(E894/F894,0)</x:f>
        <x:v>1</x:v>
      </x:c>
      <x:c r="I894" t="str">
        <x:v>Adequado</x:v>
      </x:c>
      <x:c r="J894" t="str">
        <x:v>CAEd_DadosExportados (1).zip</x:v>
      </x:c>
    </x:row>
    <x:row r="895">
      <x:c r="A895" t="str">
        <x:v>2A022</x:v>
      </x:c>
      <x:c r="B895" t="str">
        <x:v>2º ano</x:v>
      </x:c>
      <x:c r="C895" t="str">
        <x:v>referencia</x:v>
      </x:c>
      <x:c r="D895" t="str">
        <x:v>H08</x:v>
      </x:c>
      <x:c r="E895" t="n">
        <x:v>2</x:v>
      </x:c>
      <x:c r="F895" t="n">
        <x:v>2</x:v>
      </x:c>
      <x:c r="G895" t="n">
        <x:f>F895-E895</x:f>
        <x:v>0</x:v>
      </x:c>
      <x:c r="H895" s="2" t="n">
        <x:f>IFERROR(E895/F895,0)</x:f>
        <x:v>1</x:v>
      </x:c>
      <x:c r="I895" t="str">
        <x:v>Adequado</x:v>
      </x:c>
      <x:c r="J895" t="str">
        <x:v>CAEd_DadosExportados (1).zip</x:v>
      </x:c>
    </x:row>
    <x:row r="896">
      <x:c r="A896" t="str">
        <x:v>2A022</x:v>
      </x:c>
      <x:c r="B896" t="str">
        <x:v>2º ano</x:v>
      </x:c>
      <x:c r="C896" t="str">
        <x:v>referencia</x:v>
      </x:c>
      <x:c r="D896" t="str">
        <x:v>H09</x:v>
      </x:c>
      <x:c r="E896" t="n">
        <x:v>2</x:v>
      </x:c>
      <x:c r="F896" t="n">
        <x:v>2</x:v>
      </x:c>
      <x:c r="G896" t="n">
        <x:f>F896-E896</x:f>
        <x:v>0</x:v>
      </x:c>
      <x:c r="H896" s="2" t="n">
        <x:f>IFERROR(E896/F896,0)</x:f>
        <x:v>1</x:v>
      </x:c>
      <x:c r="I896" t="str">
        <x:v>Adequado</x:v>
      </x:c>
      <x:c r="J896" t="str">
        <x:v>CAEd_DadosExportados (1).zip</x:v>
      </x:c>
    </x:row>
    <x:row r="897">
      <x:c r="A897" t="str">
        <x:v>2A022</x:v>
      </x:c>
      <x:c r="B897" t="str">
        <x:v>2º ano</x:v>
      </x:c>
      <x:c r="C897" t="str">
        <x:v>referencia</x:v>
      </x:c>
      <x:c r="D897" t="str">
        <x:v>H10</x:v>
      </x:c>
      <x:c r="E897" t="n">
        <x:v>1</x:v>
      </x:c>
      <x:c r="F897" t="n">
        <x:v>1</x:v>
      </x:c>
      <x:c r="G897" t="n">
        <x:f>F897-E897</x:f>
        <x:v>0</x:v>
      </x:c>
      <x:c r="H897" s="2" t="n">
        <x:f>IFERROR(E897/F897,0)</x:f>
        <x:v>1</x:v>
      </x:c>
      <x:c r="I897" t="str">
        <x:v>Adequado</x:v>
      </x:c>
      <x:c r="J897" t="str">
        <x:v>CAEd_DadosExportados (1).zip</x:v>
      </x:c>
    </x:row>
    <x:row r="898">
      <x:c r="A898" t="str">
        <x:v>2A022</x:v>
      </x:c>
      <x:c r="B898" t="str">
        <x:v>2º ano</x:v>
      </x:c>
      <x:c r="C898" t="str">
        <x:v>referencia</x:v>
      </x:c>
      <x:c r="D898" t="str">
        <x:v>H11</x:v>
      </x:c>
      <x:c r="E898" t="n">
        <x:v>1</x:v>
      </x:c>
      <x:c r="F898" t="n">
        <x:v>2</x:v>
      </x:c>
      <x:c r="G898" t="n">
        <x:f>F898-E898</x:f>
        <x:v>1</x:v>
      </x:c>
      <x:c r="H898" s="2" t="n">
        <x:f>IFERROR(E898/F898,0)</x:f>
        <x:v>0.5</x:v>
      </x:c>
      <x:c r="I898" t="str">
        <x:v>Adequado</x:v>
      </x:c>
      <x:c r="J898" t="str">
        <x:v>CAEd_DadosExportados (1).zip</x:v>
      </x:c>
    </x:row>
    <x:row r="899">
      <x:c r="A899" t="str">
        <x:v>2A022</x:v>
      </x:c>
      <x:c r="B899" t="str">
        <x:v>2º ano</x:v>
      </x:c>
      <x:c r="C899" t="str">
        <x:v>referencia</x:v>
      </x:c>
      <x:c r="D899" t="str">
        <x:v>H12</x:v>
      </x:c>
      <x:c r="E899" t="n">
        <x:v>1</x:v>
      </x:c>
      <x:c r="F899" t="n">
        <x:v>1</x:v>
      </x:c>
      <x:c r="G899" t="n">
        <x:f>F899-E899</x:f>
        <x:v>0</x:v>
      </x:c>
      <x:c r="H899" s="2" t="n">
        <x:f>IFERROR(E899/F899,0)</x:f>
        <x:v>1</x:v>
      </x:c>
      <x:c r="I899" t="str">
        <x:v>Adequado</x:v>
      </x:c>
      <x:c r="J899" t="str">
        <x:v>CAEd_DadosExportados (1).zip</x:v>
      </x:c>
    </x:row>
    <x:row r="900">
      <x:c r="A900" t="str">
        <x:v>2A022</x:v>
      </x:c>
      <x:c r="B900" t="str">
        <x:v>2º ano</x:v>
      </x:c>
      <x:c r="C900" t="str">
        <x:v>referencia</x:v>
      </x:c>
      <x:c r="D900" t="str">
        <x:v>H13</x:v>
      </x:c>
      <x:c r="E900" t="n">
        <x:v>0</x:v>
      </x:c>
      <x:c r="F900" t="n">
        <x:v>1</x:v>
      </x:c>
      <x:c r="G900" t="n">
        <x:f>F900-E900</x:f>
        <x:v>1</x:v>
      </x:c>
      <x:c r="H900" s="2" t="n">
        <x:f>IFERROR(E900/F900,0)</x:f>
        <x:v>0</x:v>
      </x:c>
      <x:c r="I900" t="str">
        <x:v>Adequado</x:v>
      </x:c>
      <x:c r="J900" t="str">
        <x:v>CAEd_DadosExportados (1).zip</x:v>
      </x:c>
    </x:row>
    <x:row r="901">
      <x:c r="A901" t="str">
        <x:v>2A023</x:v>
      </x:c>
      <x:c r="B901" t="str">
        <x:v>2º ano</x:v>
      </x:c>
      <x:c r="C901" t="str">
        <x:v>contraprova</x:v>
      </x:c>
      <x:c r="D901" t="str">
        <x:v>H01</x:v>
      </x:c>
      <x:c r="E901" t="n">
        <x:v>0</x:v>
      </x:c>
      <x:c r="F901" t="n">
        <x:v>2</x:v>
      </x:c>
      <x:c r="G901" t="n">
        <x:f>F901-E901</x:f>
        <x:v>2</x:v>
      </x:c>
      <x:c r="H901" s="2" t="n">
        <x:f>IFERROR(E901/F901,0)</x:f>
        <x:v>0</x:v>
      </x:c>
      <x:c r="I901" t="str">
        <x:v>Adequado</x:v>
      </x:c>
      <x:c r="J901" t="str">
        <x:v>CAEd_DadosExportados (2).zip</x:v>
      </x:c>
    </x:row>
    <x:row r="902">
      <x:c r="A902" t="str">
        <x:v>2A023</x:v>
      </x:c>
      <x:c r="B902" t="str">
        <x:v>2º ano</x:v>
      </x:c>
      <x:c r="C902" t="str">
        <x:v>contraprova</x:v>
      </x:c>
      <x:c r="D902" t="str">
        <x:v>H02</x:v>
      </x:c>
      <x:c r="E902" t="n">
        <x:v>2</x:v>
      </x:c>
      <x:c r="F902" t="n">
        <x:v>2</x:v>
      </x:c>
      <x:c r="G902" t="n">
        <x:f>F902-E902</x:f>
        <x:v>0</x:v>
      </x:c>
      <x:c r="H902" s="2" t="n">
        <x:f>IFERROR(E902/F902,0)</x:f>
        <x:v>1</x:v>
      </x:c>
      <x:c r="I902" t="str">
        <x:v>Adequado</x:v>
      </x:c>
      <x:c r="J902" t="str">
        <x:v>CAEd_DadosExportados (2).zip</x:v>
      </x:c>
    </x:row>
    <x:row r="903">
      <x:c r="A903" t="str">
        <x:v>2A023</x:v>
      </x:c>
      <x:c r="B903" t="str">
        <x:v>2º ano</x:v>
      </x:c>
      <x:c r="C903" t="str">
        <x:v>contraprova</x:v>
      </x:c>
      <x:c r="D903" t="str">
        <x:v>H03</x:v>
      </x:c>
      <x:c r="E903" t="n">
        <x:v>2</x:v>
      </x:c>
      <x:c r="F903" t="n">
        <x:v>2</x:v>
      </x:c>
      <x:c r="G903" t="n">
        <x:f>F903-E903</x:f>
        <x:v>0</x:v>
      </x:c>
      <x:c r="H903" s="2" t="n">
        <x:f>IFERROR(E903/F903,0)</x:f>
        <x:v>1</x:v>
      </x:c>
      <x:c r="I903" t="str">
        <x:v>Adequado</x:v>
      </x:c>
      <x:c r="J903" t="str">
        <x:v>CAEd_DadosExportados (2).zip</x:v>
      </x:c>
    </x:row>
    <x:row r="904">
      <x:c r="A904" t="str">
        <x:v>2A023</x:v>
      </x:c>
      <x:c r="B904" t="str">
        <x:v>2º ano</x:v>
      </x:c>
      <x:c r="C904" t="str">
        <x:v>contraprova</x:v>
      </x:c>
      <x:c r="D904" t="str">
        <x:v>H04</x:v>
      </x:c>
      <x:c r="E904" t="n">
        <x:v>2</x:v>
      </x:c>
      <x:c r="F904" t="n">
        <x:v>2</x:v>
      </x:c>
      <x:c r="G904" t="n">
        <x:f>F904-E904</x:f>
        <x:v>0</x:v>
      </x:c>
      <x:c r="H904" s="2" t="n">
        <x:f>IFERROR(E904/F904,0)</x:f>
        <x:v>1</x:v>
      </x:c>
      <x:c r="I904" t="str">
        <x:v>Adequado</x:v>
      </x:c>
      <x:c r="J904" t="str">
        <x:v>CAEd_DadosExportados (2).zip</x:v>
      </x:c>
    </x:row>
    <x:row r="905">
      <x:c r="A905" t="str">
        <x:v>2A023</x:v>
      </x:c>
      <x:c r="B905" t="str">
        <x:v>2º ano</x:v>
      </x:c>
      <x:c r="C905" t="str">
        <x:v>contraprova</x:v>
      </x:c>
      <x:c r="D905" t="str">
        <x:v>H05</x:v>
      </x:c>
      <x:c r="E905" t="n">
        <x:v>2</x:v>
      </x:c>
      <x:c r="F905" t="n">
        <x:v>2</x:v>
      </x:c>
      <x:c r="G905" t="n">
        <x:f>F905-E905</x:f>
        <x:v>0</x:v>
      </x:c>
      <x:c r="H905" s="2" t="n">
        <x:f>IFERROR(E905/F905,0)</x:f>
        <x:v>1</x:v>
      </x:c>
      <x:c r="I905" t="str">
        <x:v>Adequado</x:v>
      </x:c>
      <x:c r="J905" t="str">
        <x:v>CAEd_DadosExportados (2).zip</x:v>
      </x:c>
    </x:row>
    <x:row r="906">
      <x:c r="A906" t="str">
        <x:v>2A023</x:v>
      </x:c>
      <x:c r="B906" t="str">
        <x:v>2º ano</x:v>
      </x:c>
      <x:c r="C906" t="str">
        <x:v>contraprova</x:v>
      </x:c>
      <x:c r="D906" t="str">
        <x:v>H06</x:v>
      </x:c>
      <x:c r="E906" t="n">
        <x:v>2</x:v>
      </x:c>
      <x:c r="F906" t="n">
        <x:v>2</x:v>
      </x:c>
      <x:c r="G906" t="n">
        <x:f>F906-E906</x:f>
        <x:v>0</x:v>
      </x:c>
      <x:c r="H906" s="2" t="n">
        <x:f>IFERROR(E906/F906,0)</x:f>
        <x:v>1</x:v>
      </x:c>
      <x:c r="I906" t="str">
        <x:v>Adequado</x:v>
      </x:c>
      <x:c r="J906" t="str">
        <x:v>CAEd_DadosExportados (2).zip</x:v>
      </x:c>
    </x:row>
    <x:row r="907">
      <x:c r="A907" t="str">
        <x:v>2A023</x:v>
      </x:c>
      <x:c r="B907" t="str">
        <x:v>2º ano</x:v>
      </x:c>
      <x:c r="C907" t="str">
        <x:v>contraprova</x:v>
      </x:c>
      <x:c r="D907" t="str">
        <x:v>H07</x:v>
      </x:c>
      <x:c r="E907" t="n">
        <x:v>2</x:v>
      </x:c>
      <x:c r="F907" t="n">
        <x:v>2</x:v>
      </x:c>
      <x:c r="G907" t="n">
        <x:f>F907-E907</x:f>
        <x:v>0</x:v>
      </x:c>
      <x:c r="H907" s="2" t="n">
        <x:f>IFERROR(E907/F907,0)</x:f>
        <x:v>1</x:v>
      </x:c>
      <x:c r="I907" t="str">
        <x:v>Adequado</x:v>
      </x:c>
      <x:c r="J907" t="str">
        <x:v>CAEd_DadosExportados (2).zip</x:v>
      </x:c>
    </x:row>
    <x:row r="908">
      <x:c r="A908" t="str">
        <x:v>2A023</x:v>
      </x:c>
      <x:c r="B908" t="str">
        <x:v>2º ano</x:v>
      </x:c>
      <x:c r="C908" t="str">
        <x:v>contraprova</x:v>
      </x:c>
      <x:c r="D908" t="str">
        <x:v>H08</x:v>
      </x:c>
      <x:c r="E908" t="n">
        <x:v>2</x:v>
      </x:c>
      <x:c r="F908" t="n">
        <x:v>2</x:v>
      </x:c>
      <x:c r="G908" t="n">
        <x:f>F908-E908</x:f>
        <x:v>0</x:v>
      </x:c>
      <x:c r="H908" s="2" t="n">
        <x:f>IFERROR(E908/F908,0)</x:f>
        <x:v>1</x:v>
      </x:c>
      <x:c r="I908" t="str">
        <x:v>Adequado</x:v>
      </x:c>
      <x:c r="J908" t="str">
        <x:v>CAEd_DadosExportados (2).zip</x:v>
      </x:c>
    </x:row>
    <x:row r="909">
      <x:c r="A909" t="str">
        <x:v>2A023</x:v>
      </x:c>
      <x:c r="B909" t="str">
        <x:v>2º ano</x:v>
      </x:c>
      <x:c r="C909" t="str">
        <x:v>contraprova</x:v>
      </x:c>
      <x:c r="D909" t="str">
        <x:v>H09</x:v>
      </x:c>
      <x:c r="E909" t="n">
        <x:v>2</x:v>
      </x:c>
      <x:c r="F909" t="n">
        <x:v>2</x:v>
      </x:c>
      <x:c r="G909" t="n">
        <x:f>F909-E909</x:f>
        <x:v>0</x:v>
      </x:c>
      <x:c r="H909" s="2" t="n">
        <x:f>IFERROR(E909/F909,0)</x:f>
        <x:v>1</x:v>
      </x:c>
      <x:c r="I909" t="str">
        <x:v>Adequado</x:v>
      </x:c>
      <x:c r="J909" t="str">
        <x:v>CAEd_DadosExportados (2).zip</x:v>
      </x:c>
    </x:row>
    <x:row r="910">
      <x:c r="A910" t="str">
        <x:v>2A023</x:v>
      </x:c>
      <x:c r="B910" t="str">
        <x:v>2º ano</x:v>
      </x:c>
      <x:c r="C910" t="str">
        <x:v>contraprova</x:v>
      </x:c>
      <x:c r="D910" t="str">
        <x:v>H10</x:v>
      </x:c>
      <x:c r="E910" t="n">
        <x:v>2</x:v>
      </x:c>
      <x:c r="F910" t="n">
        <x:v>2</x:v>
      </x:c>
      <x:c r="G910" t="n">
        <x:f>F910-E910</x:f>
        <x:v>0</x:v>
      </x:c>
      <x:c r="H910" s="2" t="n">
        <x:f>IFERROR(E910/F910,0)</x:f>
        <x:v>1</x:v>
      </x:c>
      <x:c r="I910" t="str">
        <x:v>Adequado</x:v>
      </x:c>
      <x:c r="J910" t="str">
        <x:v>CAEd_DadosExportados (2).zip</x:v>
      </x:c>
    </x:row>
    <x:row r="911">
      <x:c r="A911" t="str">
        <x:v>2A023</x:v>
      </x:c>
      <x:c r="B911" t="str">
        <x:v>2º ano</x:v>
      </x:c>
      <x:c r="C911" t="str">
        <x:v>contraprova</x:v>
      </x:c>
      <x:c r="D911" t="str">
        <x:v>H11</x:v>
      </x:c>
      <x:c r="E911" t="n">
        <x:v>2</x:v>
      </x:c>
      <x:c r="F911" t="n">
        <x:v>2</x:v>
      </x:c>
      <x:c r="G911" t="n">
        <x:f>F911-E911</x:f>
        <x:v>0</x:v>
      </x:c>
      <x:c r="H911" s="2" t="n">
        <x:f>IFERROR(E911/F911,0)</x:f>
        <x:v>1</x:v>
      </x:c>
      <x:c r="I911" t="str">
        <x:v>Adequado</x:v>
      </x:c>
      <x:c r="J911" t="str">
        <x:v>CAEd_DadosExportados (2).zip</x:v>
      </x:c>
    </x:row>
    <x:row r="912">
      <x:c r="A912" t="str">
        <x:v>2A023</x:v>
      </x:c>
      <x:c r="B912" t="str">
        <x:v>2º ano</x:v>
      </x:c>
      <x:c r="C912" t="str">
        <x:v>referencia</x:v>
      </x:c>
      <x:c r="D912" t="str">
        <x:v>H01</x:v>
      </x:c>
      <x:c r="E912" t="n">
        <x:v>0</x:v>
      </x:c>
      <x:c r="F912" t="n">
        <x:v>2</x:v>
      </x:c>
      <x:c r="G912" t="n">
        <x:f>F912-E912</x:f>
        <x:v>2</x:v>
      </x:c>
      <x:c r="H912" s="2" t="n">
        <x:f>IFERROR(E912/F912,0)</x:f>
        <x:v>0</x:v>
      </x:c>
      <x:c r="I912" t="str">
        <x:v>Adequado</x:v>
      </x:c>
      <x:c r="J912" t="str">
        <x:v>CAEd_DadosExportados (1).zip</x:v>
      </x:c>
    </x:row>
    <x:row r="913">
      <x:c r="A913" t="str">
        <x:v>2A023</x:v>
      </x:c>
      <x:c r="B913" t="str">
        <x:v>2º ano</x:v>
      </x:c>
      <x:c r="C913" t="str">
        <x:v>referencia</x:v>
      </x:c>
      <x:c r="D913" t="str">
        <x:v>H02</x:v>
      </x:c>
      <x:c r="E913" t="n">
        <x:v>2</x:v>
      </x:c>
      <x:c r="F913" t="n">
        <x:v>2</x:v>
      </x:c>
      <x:c r="G913" t="n">
        <x:f>F913-E913</x:f>
        <x:v>0</x:v>
      </x:c>
      <x:c r="H913" s="2" t="n">
        <x:f>IFERROR(E913/F913,0)</x:f>
        <x:v>1</x:v>
      </x:c>
      <x:c r="I913" t="str">
        <x:v>Adequado</x:v>
      </x:c>
      <x:c r="J913" t="str">
        <x:v>CAEd_DadosExportados (1).zip</x:v>
      </x:c>
    </x:row>
    <x:row r="914">
      <x:c r="A914" t="str">
        <x:v>2A023</x:v>
      </x:c>
      <x:c r="B914" t="str">
        <x:v>2º ano</x:v>
      </x:c>
      <x:c r="C914" t="str">
        <x:v>referencia</x:v>
      </x:c>
      <x:c r="D914" t="str">
        <x:v>H03</x:v>
      </x:c>
      <x:c r="E914" t="n">
        <x:v>2</x:v>
      </x:c>
      <x:c r="F914" t="n">
        <x:v>2</x:v>
      </x:c>
      <x:c r="G914" t="n">
        <x:f>F914-E914</x:f>
        <x:v>0</x:v>
      </x:c>
      <x:c r="H914" s="2" t="n">
        <x:f>IFERROR(E914/F914,0)</x:f>
        <x:v>1</x:v>
      </x:c>
      <x:c r="I914" t="str">
        <x:v>Adequado</x:v>
      </x:c>
      <x:c r="J914" t="str">
        <x:v>CAEd_DadosExportados (1).zip</x:v>
      </x:c>
    </x:row>
    <x:row r="915">
      <x:c r="A915" t="str">
        <x:v>2A023</x:v>
      </x:c>
      <x:c r="B915" t="str">
        <x:v>2º ano</x:v>
      </x:c>
      <x:c r="C915" t="str">
        <x:v>referencia</x:v>
      </x:c>
      <x:c r="D915" t="str">
        <x:v>H04</x:v>
      </x:c>
      <x:c r="E915" t="n">
        <x:v>2</x:v>
      </x:c>
      <x:c r="F915" t="n">
        <x:v>2</x:v>
      </x:c>
      <x:c r="G915" t="n">
        <x:f>F915-E915</x:f>
        <x:v>0</x:v>
      </x:c>
      <x:c r="H915" s="2" t="n">
        <x:f>IFERROR(E915/F915,0)</x:f>
        <x:v>1</x:v>
      </x:c>
      <x:c r="I915" t="str">
        <x:v>Adequado</x:v>
      </x:c>
      <x:c r="J915" t="str">
        <x:v>CAEd_DadosExportados (1).zip</x:v>
      </x:c>
    </x:row>
    <x:row r="916">
      <x:c r="A916" t="str">
        <x:v>2A023</x:v>
      </x:c>
      <x:c r="B916" t="str">
        <x:v>2º ano</x:v>
      </x:c>
      <x:c r="C916" t="str">
        <x:v>referencia</x:v>
      </x:c>
      <x:c r="D916" t="str">
        <x:v>H05</x:v>
      </x:c>
      <x:c r="E916" t="n">
        <x:v>1</x:v>
      </x:c>
      <x:c r="F916" t="n">
        <x:v>1</x:v>
      </x:c>
      <x:c r="G916" t="n">
        <x:f>F916-E916</x:f>
        <x:v>0</x:v>
      </x:c>
      <x:c r="H916" s="2" t="n">
        <x:f>IFERROR(E916/F916,0)</x:f>
        <x:v>1</x:v>
      </x:c>
      <x:c r="I916" t="str">
        <x:v>Adequado</x:v>
      </x:c>
      <x:c r="J916" t="str">
        <x:v>CAEd_DadosExportados (1).zip</x:v>
      </x:c>
    </x:row>
    <x:row r="917">
      <x:c r="A917" t="str">
        <x:v>2A023</x:v>
      </x:c>
      <x:c r="B917" t="str">
        <x:v>2º ano</x:v>
      </x:c>
      <x:c r="C917" t="str">
        <x:v>referencia</x:v>
      </x:c>
      <x:c r="D917" t="str">
        <x:v>H06</x:v>
      </x:c>
      <x:c r="E917" t="n">
        <x:v>2</x:v>
      </x:c>
      <x:c r="F917" t="n">
        <x:v>2</x:v>
      </x:c>
      <x:c r="G917" t="n">
        <x:f>F917-E917</x:f>
        <x:v>0</x:v>
      </x:c>
      <x:c r="H917" s="2" t="n">
        <x:f>IFERROR(E917/F917,0)</x:f>
        <x:v>1</x:v>
      </x:c>
      <x:c r="I917" t="str">
        <x:v>Adequado</x:v>
      </x:c>
      <x:c r="J917" t="str">
        <x:v>CAEd_DadosExportados (1).zip</x:v>
      </x:c>
    </x:row>
    <x:row r="918">
      <x:c r="A918" t="str">
        <x:v>2A023</x:v>
      </x:c>
      <x:c r="B918" t="str">
        <x:v>2º ano</x:v>
      </x:c>
      <x:c r="C918" t="str">
        <x:v>referencia</x:v>
      </x:c>
      <x:c r="D918" t="str">
        <x:v>H07</x:v>
      </x:c>
      <x:c r="E918" t="n">
        <x:v>2</x:v>
      </x:c>
      <x:c r="F918" t="n">
        <x:v>2</x:v>
      </x:c>
      <x:c r="G918" t="n">
        <x:f>F918-E918</x:f>
        <x:v>0</x:v>
      </x:c>
      <x:c r="H918" s="2" t="n">
        <x:f>IFERROR(E918/F918,0)</x:f>
        <x:v>1</x:v>
      </x:c>
      <x:c r="I918" t="str">
        <x:v>Adequado</x:v>
      </x:c>
      <x:c r="J918" t="str">
        <x:v>CAEd_DadosExportados (1).zip</x:v>
      </x:c>
    </x:row>
    <x:row r="919">
      <x:c r="A919" t="str">
        <x:v>2A023</x:v>
      </x:c>
      <x:c r="B919" t="str">
        <x:v>2º ano</x:v>
      </x:c>
      <x:c r="C919" t="str">
        <x:v>referencia</x:v>
      </x:c>
      <x:c r="D919" t="str">
        <x:v>H08</x:v>
      </x:c>
      <x:c r="E919" t="n">
        <x:v>2</x:v>
      </x:c>
      <x:c r="F919" t="n">
        <x:v>2</x:v>
      </x:c>
      <x:c r="G919" t="n">
        <x:f>F919-E919</x:f>
        <x:v>0</x:v>
      </x:c>
      <x:c r="H919" s="2" t="n">
        <x:f>IFERROR(E919/F919,0)</x:f>
        <x:v>1</x:v>
      </x:c>
      <x:c r="I919" t="str">
        <x:v>Adequado</x:v>
      </x:c>
      <x:c r="J919" t="str">
        <x:v>CAEd_DadosExportados (1).zip</x:v>
      </x:c>
    </x:row>
    <x:row r="920">
      <x:c r="A920" t="str">
        <x:v>2A023</x:v>
      </x:c>
      <x:c r="B920" t="str">
        <x:v>2º ano</x:v>
      </x:c>
      <x:c r="C920" t="str">
        <x:v>referencia</x:v>
      </x:c>
      <x:c r="D920" t="str">
        <x:v>H09</x:v>
      </x:c>
      <x:c r="E920" t="n">
        <x:v>2</x:v>
      </x:c>
      <x:c r="F920" t="n">
        <x:v>2</x:v>
      </x:c>
      <x:c r="G920" t="n">
        <x:f>F920-E920</x:f>
        <x:v>0</x:v>
      </x:c>
      <x:c r="H920" s="2" t="n">
        <x:f>IFERROR(E920/F920,0)</x:f>
        <x:v>1</x:v>
      </x:c>
      <x:c r="I920" t="str">
        <x:v>Adequado</x:v>
      </x:c>
      <x:c r="J920" t="str">
        <x:v>CAEd_DadosExportados (1).zip</x:v>
      </x:c>
    </x:row>
    <x:row r="921">
      <x:c r="A921" t="str">
        <x:v>2A023</x:v>
      </x:c>
      <x:c r="B921" t="str">
        <x:v>2º ano</x:v>
      </x:c>
      <x:c r="C921" t="str">
        <x:v>referencia</x:v>
      </x:c>
      <x:c r="D921" t="str">
        <x:v>H10</x:v>
      </x:c>
      <x:c r="E921" t="n">
        <x:v>1</x:v>
      </x:c>
      <x:c r="F921" t="n">
        <x:v>1</x:v>
      </x:c>
      <x:c r="G921" t="n">
        <x:f>F921-E921</x:f>
        <x:v>0</x:v>
      </x:c>
      <x:c r="H921" s="2" t="n">
        <x:f>IFERROR(E921/F921,0)</x:f>
        <x:v>1</x:v>
      </x:c>
      <x:c r="I921" t="str">
        <x:v>Adequado</x:v>
      </x:c>
      <x:c r="J921" t="str">
        <x:v>CAEd_DadosExportados (1).zip</x:v>
      </x:c>
    </x:row>
    <x:row r="922">
      <x:c r="A922" t="str">
        <x:v>2A023</x:v>
      </x:c>
      <x:c r="B922" t="str">
        <x:v>2º ano</x:v>
      </x:c>
      <x:c r="C922" t="str">
        <x:v>referencia</x:v>
      </x:c>
      <x:c r="D922" t="str">
        <x:v>H11</x:v>
      </x:c>
      <x:c r="E922" t="n">
        <x:v>2</x:v>
      </x:c>
      <x:c r="F922" t="n">
        <x:v>2</x:v>
      </x:c>
      <x:c r="G922" t="n">
        <x:f>F922-E922</x:f>
        <x:v>0</x:v>
      </x:c>
      <x:c r="H922" s="2" t="n">
        <x:f>IFERROR(E922/F922,0)</x:f>
        <x:v>1</x:v>
      </x:c>
      <x:c r="I922" t="str">
        <x:v>Adequado</x:v>
      </x:c>
      <x:c r="J922" t="str">
        <x:v>CAEd_DadosExportados (1).zip</x:v>
      </x:c>
    </x:row>
    <x:row r="923">
      <x:c r="A923" t="str">
        <x:v>2A023</x:v>
      </x:c>
      <x:c r="B923" t="str">
        <x:v>2º ano</x:v>
      </x:c>
      <x:c r="C923" t="str">
        <x:v>referencia</x:v>
      </x:c>
      <x:c r="D923" t="str">
        <x:v>H12</x:v>
      </x:c>
      <x:c r="E923" t="n">
        <x:v>1</x:v>
      </x:c>
      <x:c r="F923" t="n">
        <x:v>1</x:v>
      </x:c>
      <x:c r="G923" t="n">
        <x:f>F923-E923</x:f>
        <x:v>0</x:v>
      </x:c>
      <x:c r="H923" s="2" t="n">
        <x:f>IFERROR(E923/F923,0)</x:f>
        <x:v>1</x:v>
      </x:c>
      <x:c r="I923" t="str">
        <x:v>Adequado</x:v>
      </x:c>
      <x:c r="J923" t="str">
        <x:v>CAEd_DadosExportados (1).zip</x:v>
      </x:c>
    </x:row>
    <x:row r="924">
      <x:c r="A924" t="str">
        <x:v>2A023</x:v>
      </x:c>
      <x:c r="B924" t="str">
        <x:v>2º ano</x:v>
      </x:c>
      <x:c r="C924" t="str">
        <x:v>referencia</x:v>
      </x:c>
      <x:c r="D924" t="str">
        <x:v>H13</x:v>
      </x:c>
      <x:c r="E924" t="n">
        <x:v>1</x:v>
      </x:c>
      <x:c r="F924" t="n">
        <x:v>1</x:v>
      </x:c>
      <x:c r="G924" t="n">
        <x:f>F924-E924</x:f>
        <x:v>0</x:v>
      </x:c>
      <x:c r="H924" s="2" t="n">
        <x:f>IFERROR(E924/F924,0)</x:f>
        <x:v>1</x:v>
      </x:c>
      <x:c r="I924" t="str">
        <x:v>Adequado</x:v>
      </x:c>
      <x:c r="J924" t="str">
        <x:v>CAEd_DadosExportados (1).zip</x:v>
      </x:c>
    </x:row>
    <x:row r="925">
      <x:c r="A925" t="str">
        <x:v>2A024</x:v>
      </x:c>
      <x:c r="B925" t="str">
        <x:v>2º ano</x:v>
      </x:c>
      <x:c r="C925" t="str">
        <x:v>contraprova</x:v>
      </x:c>
      <x:c r="D925" t="str">
        <x:v>H01</x:v>
      </x:c>
      <x:c r="E925" t="n">
        <x:v>0</x:v>
      </x:c>
      <x:c r="F925" t="n">
        <x:v>2</x:v>
      </x:c>
      <x:c r="G925" t="n">
        <x:f>F925-E925</x:f>
        <x:v>2</x:v>
      </x:c>
      <x:c r="H925" s="2" t="n">
        <x:f>IFERROR(E925/F925,0)</x:f>
        <x:v>0</x:v>
      </x:c>
      <x:c r="I925" t="str">
        <x:v>Defasagem</x:v>
      </x:c>
      <x:c r="J925" t="str">
        <x:v>CAEd_DadosExportados (2).zip</x:v>
      </x:c>
    </x:row>
    <x:row r="926">
      <x:c r="A926" t="str">
        <x:v>2A024</x:v>
      </x:c>
      <x:c r="B926" t="str">
        <x:v>2º ano</x:v>
      </x:c>
      <x:c r="C926" t="str">
        <x:v>contraprova</x:v>
      </x:c>
      <x:c r="D926" t="str">
        <x:v>H02</x:v>
      </x:c>
      <x:c r="E926" t="n">
        <x:v>0</x:v>
      </x:c>
      <x:c r="F926" t="n">
        <x:v>2</x:v>
      </x:c>
      <x:c r="G926" t="n">
        <x:f>F926-E926</x:f>
        <x:v>2</x:v>
      </x:c>
      <x:c r="H926" s="2" t="n">
        <x:f>IFERROR(E926/F926,0)</x:f>
        <x:v>0</x:v>
      </x:c>
      <x:c r="I926" t="str">
        <x:v>Defasagem</x:v>
      </x:c>
      <x:c r="J926" t="str">
        <x:v>CAEd_DadosExportados (2).zip</x:v>
      </x:c>
    </x:row>
    <x:row r="927">
      <x:c r="A927" t="str">
        <x:v>2A024</x:v>
      </x:c>
      <x:c r="B927" t="str">
        <x:v>2º ano</x:v>
      </x:c>
      <x:c r="C927" t="str">
        <x:v>contraprova</x:v>
      </x:c>
      <x:c r="D927" t="str">
        <x:v>H03</x:v>
      </x:c>
      <x:c r="E927" t="n">
        <x:v>0</x:v>
      </x:c>
      <x:c r="F927" t="n">
        <x:v>2</x:v>
      </x:c>
      <x:c r="G927" t="n">
        <x:f>F927-E927</x:f>
        <x:v>2</x:v>
      </x:c>
      <x:c r="H927" s="2" t="n">
        <x:f>IFERROR(E927/F927,0)</x:f>
        <x:v>0</x:v>
      </x:c>
      <x:c r="I927" t="str">
        <x:v>Defasagem</x:v>
      </x:c>
      <x:c r="J927" t="str">
        <x:v>CAEd_DadosExportados (2).zip</x:v>
      </x:c>
    </x:row>
    <x:row r="928">
      <x:c r="A928" t="str">
        <x:v>2A024</x:v>
      </x:c>
      <x:c r="B928" t="str">
        <x:v>2º ano</x:v>
      </x:c>
      <x:c r="C928" t="str">
        <x:v>contraprova</x:v>
      </x:c>
      <x:c r="D928" t="str">
        <x:v>H04</x:v>
      </x:c>
      <x:c r="E928" t="n">
        <x:v>0</x:v>
      </x:c>
      <x:c r="F928" t="n">
        <x:v>2</x:v>
      </x:c>
      <x:c r="G928" t="n">
        <x:f>F928-E928</x:f>
        <x:v>2</x:v>
      </x:c>
      <x:c r="H928" s="2" t="n">
        <x:f>IFERROR(E928/F928,0)</x:f>
        <x:v>0</x:v>
      </x:c>
      <x:c r="I928" t="str">
        <x:v>Defasagem</x:v>
      </x:c>
      <x:c r="J928" t="str">
        <x:v>CAEd_DadosExportados (2).zip</x:v>
      </x:c>
    </x:row>
    <x:row r="929">
      <x:c r="A929" t="str">
        <x:v>2A024</x:v>
      </x:c>
      <x:c r="B929" t="str">
        <x:v>2º ano</x:v>
      </x:c>
      <x:c r="C929" t="str">
        <x:v>contraprova</x:v>
      </x:c>
      <x:c r="D929" t="str">
        <x:v>H05</x:v>
      </x:c>
      <x:c r="E929" t="n">
        <x:v>0</x:v>
      </x:c>
      <x:c r="F929" t="n">
        <x:v>2</x:v>
      </x:c>
      <x:c r="G929" t="n">
        <x:f>F929-E929</x:f>
        <x:v>2</x:v>
      </x:c>
      <x:c r="H929" s="2" t="n">
        <x:f>IFERROR(E929/F929,0)</x:f>
        <x:v>0</x:v>
      </x:c>
      <x:c r="I929" t="str">
        <x:v>Defasagem</x:v>
      </x:c>
      <x:c r="J929" t="str">
        <x:v>CAEd_DadosExportados (2).zip</x:v>
      </x:c>
    </x:row>
    <x:row r="930">
      <x:c r="A930" t="str">
        <x:v>2A024</x:v>
      </x:c>
      <x:c r="B930" t="str">
        <x:v>2º ano</x:v>
      </x:c>
      <x:c r="C930" t="str">
        <x:v>contraprova</x:v>
      </x:c>
      <x:c r="D930" t="str">
        <x:v>H06</x:v>
      </x:c>
      <x:c r="E930" t="n">
        <x:v>0</x:v>
      </x:c>
      <x:c r="F930" t="n">
        <x:v>2</x:v>
      </x:c>
      <x:c r="G930" t="n">
        <x:f>F930-E930</x:f>
        <x:v>2</x:v>
      </x:c>
      <x:c r="H930" s="2" t="n">
        <x:f>IFERROR(E930/F930,0)</x:f>
        <x:v>0</x:v>
      </x:c>
      <x:c r="I930" t="str">
        <x:v>Defasagem</x:v>
      </x:c>
      <x:c r="J930" t="str">
        <x:v>CAEd_DadosExportados (2).zip</x:v>
      </x:c>
    </x:row>
    <x:row r="931">
      <x:c r="A931" t="str">
        <x:v>2A024</x:v>
      </x:c>
      <x:c r="B931" t="str">
        <x:v>2º ano</x:v>
      </x:c>
      <x:c r="C931" t="str">
        <x:v>contraprova</x:v>
      </x:c>
      <x:c r="D931" t="str">
        <x:v>H07</x:v>
      </x:c>
      <x:c r="E931" t="n">
        <x:v>0</x:v>
      </x:c>
      <x:c r="F931" t="n">
        <x:v>2</x:v>
      </x:c>
      <x:c r="G931" t="n">
        <x:f>F931-E931</x:f>
        <x:v>2</x:v>
      </x:c>
      <x:c r="H931" s="2" t="n">
        <x:f>IFERROR(E931/F931,0)</x:f>
        <x:v>0</x:v>
      </x:c>
      <x:c r="I931" t="str">
        <x:v>Defasagem</x:v>
      </x:c>
      <x:c r="J931" t="str">
        <x:v>CAEd_DadosExportados (2).zip</x:v>
      </x:c>
    </x:row>
    <x:row r="932">
      <x:c r="A932" t="str">
        <x:v>2A024</x:v>
      </x:c>
      <x:c r="B932" t="str">
        <x:v>2º ano</x:v>
      </x:c>
      <x:c r="C932" t="str">
        <x:v>contraprova</x:v>
      </x:c>
      <x:c r="D932" t="str">
        <x:v>H08</x:v>
      </x:c>
      <x:c r="E932" t="n">
        <x:v>0</x:v>
      </x:c>
      <x:c r="F932" t="n">
        <x:v>2</x:v>
      </x:c>
      <x:c r="G932" t="n">
        <x:f>F932-E932</x:f>
        <x:v>2</x:v>
      </x:c>
      <x:c r="H932" s="2" t="n">
        <x:f>IFERROR(E932/F932,0)</x:f>
        <x:v>0</x:v>
      </x:c>
      <x:c r="I932" t="str">
        <x:v>Defasagem</x:v>
      </x:c>
      <x:c r="J932" t="str">
        <x:v>CAEd_DadosExportados (2).zip</x:v>
      </x:c>
    </x:row>
    <x:row r="933">
      <x:c r="A933" t="str">
        <x:v>2A024</x:v>
      </x:c>
      <x:c r="B933" t="str">
        <x:v>2º ano</x:v>
      </x:c>
      <x:c r="C933" t="str">
        <x:v>contraprova</x:v>
      </x:c>
      <x:c r="D933" t="str">
        <x:v>H09</x:v>
      </x:c>
      <x:c r="E933" t="n">
        <x:v>0</x:v>
      </x:c>
      <x:c r="F933" t="n">
        <x:v>2</x:v>
      </x:c>
      <x:c r="G933" t="n">
        <x:f>F933-E933</x:f>
        <x:v>2</x:v>
      </x:c>
      <x:c r="H933" s="2" t="n">
        <x:f>IFERROR(E933/F933,0)</x:f>
        <x:v>0</x:v>
      </x:c>
      <x:c r="I933" t="str">
        <x:v>Defasagem</x:v>
      </x:c>
      <x:c r="J933" t="str">
        <x:v>CAEd_DadosExportados (2).zip</x:v>
      </x:c>
    </x:row>
    <x:row r="934">
      <x:c r="A934" t="str">
        <x:v>2A024</x:v>
      </x:c>
      <x:c r="B934" t="str">
        <x:v>2º ano</x:v>
      </x:c>
      <x:c r="C934" t="str">
        <x:v>contraprova</x:v>
      </x:c>
      <x:c r="D934" t="str">
        <x:v>H10</x:v>
      </x:c>
      <x:c r="E934" t="n">
        <x:v>0</x:v>
      </x:c>
      <x:c r="F934" t="n">
        <x:v>2</x:v>
      </x:c>
      <x:c r="G934" t="n">
        <x:f>F934-E934</x:f>
        <x:v>2</x:v>
      </x:c>
      <x:c r="H934" s="2" t="n">
        <x:f>IFERROR(E934/F934,0)</x:f>
        <x:v>0</x:v>
      </x:c>
      <x:c r="I934" t="str">
        <x:v>Defasagem</x:v>
      </x:c>
      <x:c r="J934" t="str">
        <x:v>CAEd_DadosExportados (2).zip</x:v>
      </x:c>
    </x:row>
    <x:row r="935">
      <x:c r="A935" t="str">
        <x:v>2A024</x:v>
      </x:c>
      <x:c r="B935" t="str">
        <x:v>2º ano</x:v>
      </x:c>
      <x:c r="C935" t="str">
        <x:v>contraprova</x:v>
      </x:c>
      <x:c r="D935" t="str">
        <x:v>H11</x:v>
      </x:c>
      <x:c r="E935" t="n">
        <x:v>0</x:v>
      </x:c>
      <x:c r="F935" t="n">
        <x:v>2</x:v>
      </x:c>
      <x:c r="G935" t="n">
        <x:f>F935-E935</x:f>
        <x:v>2</x:v>
      </x:c>
      <x:c r="H935" s="2" t="n">
        <x:f>IFERROR(E935/F935,0)</x:f>
        <x:v>0</x:v>
      </x:c>
      <x:c r="I935" t="str">
        <x:v>Defasagem</x:v>
      </x:c>
      <x:c r="J935" t="str">
        <x:v>CAEd_DadosExportados (2).zip</x:v>
      </x:c>
    </x:row>
    <x:row r="936">
      <x:c r="A936" t="str">
        <x:v>2A024</x:v>
      </x:c>
      <x:c r="B936" t="str">
        <x:v>2º ano</x:v>
      </x:c>
      <x:c r="C936" t="str">
        <x:v>referencia</x:v>
      </x:c>
      <x:c r="D936" t="str">
        <x:v>H01</x:v>
      </x:c>
      <x:c r="E936" t="n">
        <x:v>0</x:v>
      </x:c>
      <x:c r="F936" t="n">
        <x:v>2</x:v>
      </x:c>
      <x:c r="G936" t="n">
        <x:f>F936-E936</x:f>
        <x:v>2</x:v>
      </x:c>
      <x:c r="H936" s="2" t="n">
        <x:f>IFERROR(E936/F936,0)</x:f>
        <x:v>0</x:v>
      </x:c>
      <x:c r="I936" t="str">
        <x:v>Defasagem</x:v>
      </x:c>
      <x:c r="J936" t="str">
        <x:v>CAEd_DadosExportados (1).zip</x:v>
      </x:c>
    </x:row>
    <x:row r="937">
      <x:c r="A937" t="str">
        <x:v>2A024</x:v>
      </x:c>
      <x:c r="B937" t="str">
        <x:v>2º ano</x:v>
      </x:c>
      <x:c r="C937" t="str">
        <x:v>referencia</x:v>
      </x:c>
      <x:c r="D937" t="str">
        <x:v>H02</x:v>
      </x:c>
      <x:c r="E937" t="n">
        <x:v>1</x:v>
      </x:c>
      <x:c r="F937" t="n">
        <x:v>2</x:v>
      </x:c>
      <x:c r="G937" t="n">
        <x:f>F937-E937</x:f>
        <x:v>1</x:v>
      </x:c>
      <x:c r="H937" s="2" t="n">
        <x:f>IFERROR(E937/F937,0)</x:f>
        <x:v>0.5</x:v>
      </x:c>
      <x:c r="I937" t="str">
        <x:v>Defasagem</x:v>
      </x:c>
      <x:c r="J937" t="str">
        <x:v>CAEd_DadosExportados (1).zip</x:v>
      </x:c>
    </x:row>
    <x:row r="938">
      <x:c r="A938" t="str">
        <x:v>2A024</x:v>
      </x:c>
      <x:c r="B938" t="str">
        <x:v>2º ano</x:v>
      </x:c>
      <x:c r="C938" t="str">
        <x:v>referencia</x:v>
      </x:c>
      <x:c r="D938" t="str">
        <x:v>H03</x:v>
      </x:c>
      <x:c r="E938" t="n">
        <x:v>0</x:v>
      </x:c>
      <x:c r="F938" t="n">
        <x:v>2</x:v>
      </x:c>
      <x:c r="G938" t="n">
        <x:f>F938-E938</x:f>
        <x:v>2</x:v>
      </x:c>
      <x:c r="H938" s="2" t="n">
        <x:f>IFERROR(E938/F938,0)</x:f>
        <x:v>0</x:v>
      </x:c>
      <x:c r="I938" t="str">
        <x:v>Defasagem</x:v>
      </x:c>
      <x:c r="J938" t="str">
        <x:v>CAEd_DadosExportados (1).zip</x:v>
      </x:c>
    </x:row>
    <x:row r="939">
      <x:c r="A939" t="str">
        <x:v>2A024</x:v>
      </x:c>
      <x:c r="B939" t="str">
        <x:v>2º ano</x:v>
      </x:c>
      <x:c r="C939" t="str">
        <x:v>referencia</x:v>
      </x:c>
      <x:c r="D939" t="str">
        <x:v>H04</x:v>
      </x:c>
      <x:c r="E939" t="n">
        <x:v>1</x:v>
      </x:c>
      <x:c r="F939" t="n">
        <x:v>2</x:v>
      </x:c>
      <x:c r="G939" t="n">
        <x:f>F939-E939</x:f>
        <x:v>1</x:v>
      </x:c>
      <x:c r="H939" s="2" t="n">
        <x:f>IFERROR(E939/F939,0)</x:f>
        <x:v>0.5</x:v>
      </x:c>
      <x:c r="I939" t="str">
        <x:v>Defasagem</x:v>
      </x:c>
      <x:c r="J939" t="str">
        <x:v>CAEd_DadosExportados (1).zip</x:v>
      </x:c>
    </x:row>
    <x:row r="940">
      <x:c r="A940" t="str">
        <x:v>2A024</x:v>
      </x:c>
      <x:c r="B940" t="str">
        <x:v>2º ano</x:v>
      </x:c>
      <x:c r="C940" t="str">
        <x:v>referencia</x:v>
      </x:c>
      <x:c r="D940" t="str">
        <x:v>H05</x:v>
      </x:c>
      <x:c r="E940" t="n">
        <x:v>0</x:v>
      </x:c>
      <x:c r="F940" t="n">
        <x:v>1</x:v>
      </x:c>
      <x:c r="G940" t="n">
        <x:f>F940-E940</x:f>
        <x:v>1</x:v>
      </x:c>
      <x:c r="H940" s="2" t="n">
        <x:f>IFERROR(E940/F940,0)</x:f>
        <x:v>0</x:v>
      </x:c>
      <x:c r="I940" t="str">
        <x:v>Defasagem</x:v>
      </x:c>
      <x:c r="J940" t="str">
        <x:v>CAEd_DadosExportados (1).zip</x:v>
      </x:c>
    </x:row>
    <x:row r="941">
      <x:c r="A941" t="str">
        <x:v>2A024</x:v>
      </x:c>
      <x:c r="B941" t="str">
        <x:v>2º ano</x:v>
      </x:c>
      <x:c r="C941" t="str">
        <x:v>referencia</x:v>
      </x:c>
      <x:c r="D941" t="str">
        <x:v>H06</x:v>
      </x:c>
      <x:c r="E941" t="n">
        <x:v>0</x:v>
      </x:c>
      <x:c r="F941" t="n">
        <x:v>2</x:v>
      </x:c>
      <x:c r="G941" t="n">
        <x:f>F941-E941</x:f>
        <x:v>2</x:v>
      </x:c>
      <x:c r="H941" s="2" t="n">
        <x:f>IFERROR(E941/F941,0)</x:f>
        <x:v>0</x:v>
      </x:c>
      <x:c r="I941" t="str">
        <x:v>Defasagem</x:v>
      </x:c>
      <x:c r="J941" t="str">
        <x:v>CAEd_DadosExportados (1).zip</x:v>
      </x:c>
    </x:row>
    <x:row r="942">
      <x:c r="A942" t="str">
        <x:v>2A024</x:v>
      </x:c>
      <x:c r="B942" t="str">
        <x:v>2º ano</x:v>
      </x:c>
      <x:c r="C942" t="str">
        <x:v>referencia</x:v>
      </x:c>
      <x:c r="D942" t="str">
        <x:v>H07</x:v>
      </x:c>
      <x:c r="E942" t="n">
        <x:v>1</x:v>
      </x:c>
      <x:c r="F942" t="n">
        <x:v>2</x:v>
      </x:c>
      <x:c r="G942" t="n">
        <x:f>F942-E942</x:f>
        <x:v>1</x:v>
      </x:c>
      <x:c r="H942" s="2" t="n">
        <x:f>IFERROR(E942/F942,0)</x:f>
        <x:v>0.5</x:v>
      </x:c>
      <x:c r="I942" t="str">
        <x:v>Defasagem</x:v>
      </x:c>
      <x:c r="J942" t="str">
        <x:v>CAEd_DadosExportados (1).zip</x:v>
      </x:c>
    </x:row>
    <x:row r="943">
      <x:c r="A943" t="str">
        <x:v>2A024</x:v>
      </x:c>
      <x:c r="B943" t="str">
        <x:v>2º ano</x:v>
      </x:c>
      <x:c r="C943" t="str">
        <x:v>referencia</x:v>
      </x:c>
      <x:c r="D943" t="str">
        <x:v>H08</x:v>
      </x:c>
      <x:c r="E943" t="n">
        <x:v>1</x:v>
      </x:c>
      <x:c r="F943" t="n">
        <x:v>2</x:v>
      </x:c>
      <x:c r="G943" t="n">
        <x:f>F943-E943</x:f>
        <x:v>1</x:v>
      </x:c>
      <x:c r="H943" s="2" t="n">
        <x:f>IFERROR(E943/F943,0)</x:f>
        <x:v>0.5</x:v>
      </x:c>
      <x:c r="I943" t="str">
        <x:v>Defasagem</x:v>
      </x:c>
      <x:c r="J943" t="str">
        <x:v>CAEd_DadosExportados (1).zip</x:v>
      </x:c>
    </x:row>
    <x:row r="944">
      <x:c r="A944" t="str">
        <x:v>2A024</x:v>
      </x:c>
      <x:c r="B944" t="str">
        <x:v>2º ano</x:v>
      </x:c>
      <x:c r="C944" t="str">
        <x:v>referencia</x:v>
      </x:c>
      <x:c r="D944" t="str">
        <x:v>H09</x:v>
      </x:c>
      <x:c r="E944" t="n">
        <x:v>1</x:v>
      </x:c>
      <x:c r="F944" t="n">
        <x:v>2</x:v>
      </x:c>
      <x:c r="G944" t="n">
        <x:f>F944-E944</x:f>
        <x:v>1</x:v>
      </x:c>
      <x:c r="H944" s="2" t="n">
        <x:f>IFERROR(E944/F944,0)</x:f>
        <x:v>0.5</x:v>
      </x:c>
      <x:c r="I944" t="str">
        <x:v>Defasagem</x:v>
      </x:c>
      <x:c r="J944" t="str">
        <x:v>CAEd_DadosExportados (1).zip</x:v>
      </x:c>
    </x:row>
    <x:row r="945">
      <x:c r="A945" t="str">
        <x:v>2A024</x:v>
      </x:c>
      <x:c r="B945" t="str">
        <x:v>2º ano</x:v>
      </x:c>
      <x:c r="C945" t="str">
        <x:v>referencia</x:v>
      </x:c>
      <x:c r="D945" t="str">
        <x:v>H10</x:v>
      </x:c>
      <x:c r="E945" t="n">
        <x:v>1</x:v>
      </x:c>
      <x:c r="F945" t="n">
        <x:v>1</x:v>
      </x:c>
      <x:c r="G945" t="n">
        <x:f>F945-E945</x:f>
        <x:v>0</x:v>
      </x:c>
      <x:c r="H945" s="2" t="n">
        <x:f>IFERROR(E945/F945,0)</x:f>
        <x:v>1</x:v>
      </x:c>
      <x:c r="I945" t="str">
        <x:v>Defasagem</x:v>
      </x:c>
      <x:c r="J945" t="str">
        <x:v>CAEd_DadosExportados (1).zip</x:v>
      </x:c>
    </x:row>
    <x:row r="946">
      <x:c r="A946" t="str">
        <x:v>2A024</x:v>
      </x:c>
      <x:c r="B946" t="str">
        <x:v>2º ano</x:v>
      </x:c>
      <x:c r="C946" t="str">
        <x:v>referencia</x:v>
      </x:c>
      <x:c r="D946" t="str">
        <x:v>H11</x:v>
      </x:c>
      <x:c r="E946" t="n">
        <x:v>1</x:v>
      </x:c>
      <x:c r="F946" t="n">
        <x:v>2</x:v>
      </x:c>
      <x:c r="G946" t="n">
        <x:f>F946-E946</x:f>
        <x:v>1</x:v>
      </x:c>
      <x:c r="H946" s="2" t="n">
        <x:f>IFERROR(E946/F946,0)</x:f>
        <x:v>0.5</x:v>
      </x:c>
      <x:c r="I946" t="str">
        <x:v>Defasagem</x:v>
      </x:c>
      <x:c r="J946" t="str">
        <x:v>CAEd_DadosExportados (1).zip</x:v>
      </x:c>
    </x:row>
    <x:row r="947">
      <x:c r="A947" t="str">
        <x:v>2A024</x:v>
      </x:c>
      <x:c r="B947" t="str">
        <x:v>2º ano</x:v>
      </x:c>
      <x:c r="C947" t="str">
        <x:v>referencia</x:v>
      </x:c>
      <x:c r="D947" t="str">
        <x:v>H12</x:v>
      </x:c>
      <x:c r="E947" t="n">
        <x:v>0</x:v>
      </x:c>
      <x:c r="F947" t="n">
        <x:v>1</x:v>
      </x:c>
      <x:c r="G947" t="n">
        <x:f>F947-E947</x:f>
        <x:v>1</x:v>
      </x:c>
      <x:c r="H947" s="2" t="n">
        <x:f>IFERROR(E947/F947,0)</x:f>
        <x:v>0</x:v>
      </x:c>
      <x:c r="I947" t="str">
        <x:v>Defasagem</x:v>
      </x:c>
      <x:c r="J947" t="str">
        <x:v>CAEd_DadosExportados (1).zip</x:v>
      </x:c>
    </x:row>
    <x:row r="948">
      <x:c r="A948" t="str">
        <x:v>2A024</x:v>
      </x:c>
      <x:c r="B948" t="str">
        <x:v>2º ano</x:v>
      </x:c>
      <x:c r="C948" t="str">
        <x:v>referencia</x:v>
      </x:c>
      <x:c r="D948" t="str">
        <x:v>H13</x:v>
      </x:c>
      <x:c r="E948" t="n">
        <x:v>0</x:v>
      </x:c>
      <x:c r="F948" t="n">
        <x:v>1</x:v>
      </x:c>
      <x:c r="G948" t="n">
        <x:f>F948-E948</x:f>
        <x:v>1</x:v>
      </x:c>
      <x:c r="H948" s="2" t="n">
        <x:f>IFERROR(E948/F948,0)</x:f>
        <x:v>0</x:v>
      </x:c>
      <x:c r="I948" t="str">
        <x:v>Defasagem</x:v>
      </x:c>
      <x:c r="J948" t="str">
        <x:v>CAEd_DadosExportados (1).zip</x:v>
      </x:c>
    </x:row>
    <x:row r="949">
      <x:c r="A949" t="str">
        <x:v>2A025</x:v>
      </x:c>
      <x:c r="B949" t="str">
        <x:v>2º ano</x:v>
      </x:c>
      <x:c r="C949" t="str">
        <x:v>contraprova</x:v>
      </x:c>
      <x:c r="D949" t="str">
        <x:v>H01</x:v>
      </x:c>
      <x:c r="E949" t="n">
        <x:v>1</x:v>
      </x:c>
      <x:c r="F949" t="n">
        <x:v>2</x:v>
      </x:c>
      <x:c r="G949" t="n">
        <x:f>F949-E949</x:f>
        <x:v>1</x:v>
      </x:c>
      <x:c r="H949" s="2" t="n">
        <x:f>IFERROR(E949/F949,0)</x:f>
        <x:v>0.5</x:v>
      </x:c>
      <x:c r="I949" t="str">
        <x:v>Adequado</x:v>
      </x:c>
      <x:c r="J949" t="str">
        <x:v>CAEd_DadosExportados (2).zip</x:v>
      </x:c>
    </x:row>
    <x:row r="950">
      <x:c r="A950" t="str">
        <x:v>2A025</x:v>
      </x:c>
      <x:c r="B950" t="str">
        <x:v>2º ano</x:v>
      </x:c>
      <x:c r="C950" t="str">
        <x:v>contraprova</x:v>
      </x:c>
      <x:c r="D950" t="str">
        <x:v>H02</x:v>
      </x:c>
      <x:c r="E950" t="n">
        <x:v>2</x:v>
      </x:c>
      <x:c r="F950" t="n">
        <x:v>2</x:v>
      </x:c>
      <x:c r="G950" t="n">
        <x:f>F950-E950</x:f>
        <x:v>0</x:v>
      </x:c>
      <x:c r="H950" s="2" t="n">
        <x:f>IFERROR(E950/F950,0)</x:f>
        <x:v>1</x:v>
      </x:c>
      <x:c r="I950" t="str">
        <x:v>Adequado</x:v>
      </x:c>
      <x:c r="J950" t="str">
        <x:v>CAEd_DadosExportados (2).zip</x:v>
      </x:c>
    </x:row>
    <x:row r="951">
      <x:c r="A951" t="str">
        <x:v>2A025</x:v>
      </x:c>
      <x:c r="B951" t="str">
        <x:v>2º ano</x:v>
      </x:c>
      <x:c r="C951" t="str">
        <x:v>contraprova</x:v>
      </x:c>
      <x:c r="D951" t="str">
        <x:v>H03</x:v>
      </x:c>
      <x:c r="E951" t="n">
        <x:v>2</x:v>
      </x:c>
      <x:c r="F951" t="n">
        <x:v>2</x:v>
      </x:c>
      <x:c r="G951" t="n">
        <x:f>F951-E951</x:f>
        <x:v>0</x:v>
      </x:c>
      <x:c r="H951" s="2" t="n">
        <x:f>IFERROR(E951/F951,0)</x:f>
        <x:v>1</x:v>
      </x:c>
      <x:c r="I951" t="str">
        <x:v>Adequado</x:v>
      </x:c>
      <x:c r="J951" t="str">
        <x:v>CAEd_DadosExportados (2).zip</x:v>
      </x:c>
    </x:row>
    <x:row r="952">
      <x:c r="A952" t="str">
        <x:v>2A025</x:v>
      </x:c>
      <x:c r="B952" t="str">
        <x:v>2º ano</x:v>
      </x:c>
      <x:c r="C952" t="str">
        <x:v>contraprova</x:v>
      </x:c>
      <x:c r="D952" t="str">
        <x:v>H04</x:v>
      </x:c>
      <x:c r="E952" t="n">
        <x:v>2</x:v>
      </x:c>
      <x:c r="F952" t="n">
        <x:v>2</x:v>
      </x:c>
      <x:c r="G952" t="n">
        <x:f>F952-E952</x:f>
        <x:v>0</x:v>
      </x:c>
      <x:c r="H952" s="2" t="n">
        <x:f>IFERROR(E952/F952,0)</x:f>
        <x:v>1</x:v>
      </x:c>
      <x:c r="I952" t="str">
        <x:v>Adequado</x:v>
      </x:c>
      <x:c r="J952" t="str">
        <x:v>CAEd_DadosExportados (2).zip</x:v>
      </x:c>
    </x:row>
    <x:row r="953">
      <x:c r="A953" t="str">
        <x:v>2A025</x:v>
      </x:c>
      <x:c r="B953" t="str">
        <x:v>2º ano</x:v>
      </x:c>
      <x:c r="C953" t="str">
        <x:v>contraprova</x:v>
      </x:c>
      <x:c r="D953" t="str">
        <x:v>H05</x:v>
      </x:c>
      <x:c r="E953" t="n">
        <x:v>2</x:v>
      </x:c>
      <x:c r="F953" t="n">
        <x:v>2</x:v>
      </x:c>
      <x:c r="G953" t="n">
        <x:f>F953-E953</x:f>
        <x:v>0</x:v>
      </x:c>
      <x:c r="H953" s="2" t="n">
        <x:f>IFERROR(E953/F953,0)</x:f>
        <x:v>1</x:v>
      </x:c>
      <x:c r="I953" t="str">
        <x:v>Adequado</x:v>
      </x:c>
      <x:c r="J953" t="str">
        <x:v>CAEd_DadosExportados (2).zip</x:v>
      </x:c>
    </x:row>
    <x:row r="954">
      <x:c r="A954" t="str">
        <x:v>2A025</x:v>
      </x:c>
      <x:c r="B954" t="str">
        <x:v>2º ano</x:v>
      </x:c>
      <x:c r="C954" t="str">
        <x:v>contraprova</x:v>
      </x:c>
      <x:c r="D954" t="str">
        <x:v>H06</x:v>
      </x:c>
      <x:c r="E954" t="n">
        <x:v>2</x:v>
      </x:c>
      <x:c r="F954" t="n">
        <x:v>2</x:v>
      </x:c>
      <x:c r="G954" t="n">
        <x:f>F954-E954</x:f>
        <x:v>0</x:v>
      </x:c>
      <x:c r="H954" s="2" t="n">
        <x:f>IFERROR(E954/F954,0)</x:f>
        <x:v>1</x:v>
      </x:c>
      <x:c r="I954" t="str">
        <x:v>Adequado</x:v>
      </x:c>
      <x:c r="J954" t="str">
        <x:v>CAEd_DadosExportados (2).zip</x:v>
      </x:c>
    </x:row>
    <x:row r="955">
      <x:c r="A955" t="str">
        <x:v>2A025</x:v>
      </x:c>
      <x:c r="B955" t="str">
        <x:v>2º ano</x:v>
      </x:c>
      <x:c r="C955" t="str">
        <x:v>contraprova</x:v>
      </x:c>
      <x:c r="D955" t="str">
        <x:v>H07</x:v>
      </x:c>
      <x:c r="E955" t="n">
        <x:v>1</x:v>
      </x:c>
      <x:c r="F955" t="n">
        <x:v>2</x:v>
      </x:c>
      <x:c r="G955" t="n">
        <x:f>F955-E955</x:f>
        <x:v>1</x:v>
      </x:c>
      <x:c r="H955" s="2" t="n">
        <x:f>IFERROR(E955/F955,0)</x:f>
        <x:v>0.5</x:v>
      </x:c>
      <x:c r="I955" t="str">
        <x:v>Adequado</x:v>
      </x:c>
      <x:c r="J955" t="str">
        <x:v>CAEd_DadosExportados (2).zip</x:v>
      </x:c>
    </x:row>
    <x:row r="956">
      <x:c r="A956" t="str">
        <x:v>2A025</x:v>
      </x:c>
      <x:c r="B956" t="str">
        <x:v>2º ano</x:v>
      </x:c>
      <x:c r="C956" t="str">
        <x:v>contraprova</x:v>
      </x:c>
      <x:c r="D956" t="str">
        <x:v>H08</x:v>
      </x:c>
      <x:c r="E956" t="n">
        <x:v>1</x:v>
      </x:c>
      <x:c r="F956" t="n">
        <x:v>2</x:v>
      </x:c>
      <x:c r="G956" t="n">
        <x:f>F956-E956</x:f>
        <x:v>1</x:v>
      </x:c>
      <x:c r="H956" s="2" t="n">
        <x:f>IFERROR(E956/F956,0)</x:f>
        <x:v>0.5</x:v>
      </x:c>
      <x:c r="I956" t="str">
        <x:v>Adequado</x:v>
      </x:c>
      <x:c r="J956" t="str">
        <x:v>CAEd_DadosExportados (2).zip</x:v>
      </x:c>
    </x:row>
    <x:row r="957">
      <x:c r="A957" t="str">
        <x:v>2A025</x:v>
      </x:c>
      <x:c r="B957" t="str">
        <x:v>2º ano</x:v>
      </x:c>
      <x:c r="C957" t="str">
        <x:v>contraprova</x:v>
      </x:c>
      <x:c r="D957" t="str">
        <x:v>H09</x:v>
      </x:c>
      <x:c r="E957" t="n">
        <x:v>2</x:v>
      </x:c>
      <x:c r="F957" t="n">
        <x:v>2</x:v>
      </x:c>
      <x:c r="G957" t="n">
        <x:f>F957-E957</x:f>
        <x:v>0</x:v>
      </x:c>
      <x:c r="H957" s="2" t="n">
        <x:f>IFERROR(E957/F957,0)</x:f>
        <x:v>1</x:v>
      </x:c>
      <x:c r="I957" t="str">
        <x:v>Adequado</x:v>
      </x:c>
      <x:c r="J957" t="str">
        <x:v>CAEd_DadosExportados (2).zip</x:v>
      </x:c>
    </x:row>
    <x:row r="958">
      <x:c r="A958" t="str">
        <x:v>2A025</x:v>
      </x:c>
      <x:c r="B958" t="str">
        <x:v>2º ano</x:v>
      </x:c>
      <x:c r="C958" t="str">
        <x:v>contraprova</x:v>
      </x:c>
      <x:c r="D958" t="str">
        <x:v>H10</x:v>
      </x:c>
      <x:c r="E958" t="n">
        <x:v>2</x:v>
      </x:c>
      <x:c r="F958" t="n">
        <x:v>2</x:v>
      </x:c>
      <x:c r="G958" t="n">
        <x:f>F958-E958</x:f>
        <x:v>0</x:v>
      </x:c>
      <x:c r="H958" s="2" t="n">
        <x:f>IFERROR(E958/F958,0)</x:f>
        <x:v>1</x:v>
      </x:c>
      <x:c r="I958" t="str">
        <x:v>Adequado</x:v>
      </x:c>
      <x:c r="J958" t="str">
        <x:v>CAEd_DadosExportados (2).zip</x:v>
      </x:c>
    </x:row>
    <x:row r="959">
      <x:c r="A959" t="str">
        <x:v>2A025</x:v>
      </x:c>
      <x:c r="B959" t="str">
        <x:v>2º ano</x:v>
      </x:c>
      <x:c r="C959" t="str">
        <x:v>contraprova</x:v>
      </x:c>
      <x:c r="D959" t="str">
        <x:v>H11</x:v>
      </x:c>
      <x:c r="E959" t="n">
        <x:v>2</x:v>
      </x:c>
      <x:c r="F959" t="n">
        <x:v>2</x:v>
      </x:c>
      <x:c r="G959" t="n">
        <x:f>F959-E959</x:f>
        <x:v>0</x:v>
      </x:c>
      <x:c r="H959" s="2" t="n">
        <x:f>IFERROR(E959/F959,0)</x:f>
        <x:v>1</x:v>
      </x:c>
      <x:c r="I959" t="str">
        <x:v>Adequado</x:v>
      </x:c>
      <x:c r="J959" t="str">
        <x:v>CAEd_DadosExportados (2).zip</x:v>
      </x:c>
    </x:row>
    <x:row r="960">
      <x:c r="A960" t="str">
        <x:v>2A025</x:v>
      </x:c>
      <x:c r="B960" t="str">
        <x:v>2º ano</x:v>
      </x:c>
      <x:c r="C960" t="str">
        <x:v>referencia</x:v>
      </x:c>
      <x:c r="D960" t="str">
        <x:v>H01</x:v>
      </x:c>
      <x:c r="E960" t="n">
        <x:v>2</x:v>
      </x:c>
      <x:c r="F960" t="n">
        <x:v>2</x:v>
      </x:c>
      <x:c r="G960" t="n">
        <x:f>F960-E960</x:f>
        <x:v>0</x:v>
      </x:c>
      <x:c r="H960" s="2" t="n">
        <x:f>IFERROR(E960/F960,0)</x:f>
        <x:v>1</x:v>
      </x:c>
      <x:c r="I960" t="str">
        <x:v>Adequado</x:v>
      </x:c>
      <x:c r="J960" t="str">
        <x:v>CAEd_DadosExportados (1).zip</x:v>
      </x:c>
    </x:row>
    <x:row r="961">
      <x:c r="A961" t="str">
        <x:v>2A025</x:v>
      </x:c>
      <x:c r="B961" t="str">
        <x:v>2º ano</x:v>
      </x:c>
      <x:c r="C961" t="str">
        <x:v>referencia</x:v>
      </x:c>
      <x:c r="D961" t="str">
        <x:v>H02</x:v>
      </x:c>
      <x:c r="E961" t="n">
        <x:v>2</x:v>
      </x:c>
      <x:c r="F961" t="n">
        <x:v>2</x:v>
      </x:c>
      <x:c r="G961" t="n">
        <x:f>F961-E961</x:f>
        <x:v>0</x:v>
      </x:c>
      <x:c r="H961" s="2" t="n">
        <x:f>IFERROR(E961/F961,0)</x:f>
        <x:v>1</x:v>
      </x:c>
      <x:c r="I961" t="str">
        <x:v>Adequado</x:v>
      </x:c>
      <x:c r="J961" t="str">
        <x:v>CAEd_DadosExportados (1).zip</x:v>
      </x:c>
    </x:row>
    <x:row r="962">
      <x:c r="A962" t="str">
        <x:v>2A025</x:v>
      </x:c>
      <x:c r="B962" t="str">
        <x:v>2º ano</x:v>
      </x:c>
      <x:c r="C962" t="str">
        <x:v>referencia</x:v>
      </x:c>
      <x:c r="D962" t="str">
        <x:v>H03</x:v>
      </x:c>
      <x:c r="E962" t="n">
        <x:v>2</x:v>
      </x:c>
      <x:c r="F962" t="n">
        <x:v>2</x:v>
      </x:c>
      <x:c r="G962" t="n">
        <x:f>F962-E962</x:f>
        <x:v>0</x:v>
      </x:c>
      <x:c r="H962" s="2" t="n">
        <x:f>IFERROR(E962/F962,0)</x:f>
        <x:v>1</x:v>
      </x:c>
      <x:c r="I962" t="str">
        <x:v>Adequado</x:v>
      </x:c>
      <x:c r="J962" t="str">
        <x:v>CAEd_DadosExportados (1).zip</x:v>
      </x:c>
    </x:row>
    <x:row r="963">
      <x:c r="A963" t="str">
        <x:v>2A025</x:v>
      </x:c>
      <x:c r="B963" t="str">
        <x:v>2º ano</x:v>
      </x:c>
      <x:c r="C963" t="str">
        <x:v>referencia</x:v>
      </x:c>
      <x:c r="D963" t="str">
        <x:v>H04</x:v>
      </x:c>
      <x:c r="E963" t="n">
        <x:v>2</x:v>
      </x:c>
      <x:c r="F963" t="n">
        <x:v>2</x:v>
      </x:c>
      <x:c r="G963" t="n">
        <x:f>F963-E963</x:f>
        <x:v>0</x:v>
      </x:c>
      <x:c r="H963" s="2" t="n">
        <x:f>IFERROR(E963/F963,0)</x:f>
        <x:v>1</x:v>
      </x:c>
      <x:c r="I963" t="str">
        <x:v>Adequado</x:v>
      </x:c>
      <x:c r="J963" t="str">
        <x:v>CAEd_DadosExportados (1).zip</x:v>
      </x:c>
    </x:row>
    <x:row r="964">
      <x:c r="A964" t="str">
        <x:v>2A025</x:v>
      </x:c>
      <x:c r="B964" t="str">
        <x:v>2º ano</x:v>
      </x:c>
      <x:c r="C964" t="str">
        <x:v>referencia</x:v>
      </x:c>
      <x:c r="D964" t="str">
        <x:v>H05</x:v>
      </x:c>
      <x:c r="E964" t="n">
        <x:v>1</x:v>
      </x:c>
      <x:c r="F964" t="n">
        <x:v>1</x:v>
      </x:c>
      <x:c r="G964" t="n">
        <x:f>F964-E964</x:f>
        <x:v>0</x:v>
      </x:c>
      <x:c r="H964" s="2" t="n">
        <x:f>IFERROR(E964/F964,0)</x:f>
        <x:v>1</x:v>
      </x:c>
      <x:c r="I964" t="str">
        <x:v>Adequado</x:v>
      </x:c>
      <x:c r="J964" t="str">
        <x:v>CAEd_DadosExportados (1).zip</x:v>
      </x:c>
    </x:row>
    <x:row r="965">
      <x:c r="A965" t="str">
        <x:v>2A025</x:v>
      </x:c>
      <x:c r="B965" t="str">
        <x:v>2º ano</x:v>
      </x:c>
      <x:c r="C965" t="str">
        <x:v>referencia</x:v>
      </x:c>
      <x:c r="D965" t="str">
        <x:v>H06</x:v>
      </x:c>
      <x:c r="E965" t="n">
        <x:v>2</x:v>
      </x:c>
      <x:c r="F965" t="n">
        <x:v>2</x:v>
      </x:c>
      <x:c r="G965" t="n">
        <x:f>F965-E965</x:f>
        <x:v>0</x:v>
      </x:c>
      <x:c r="H965" s="2" t="n">
        <x:f>IFERROR(E965/F965,0)</x:f>
        <x:v>1</x:v>
      </x:c>
      <x:c r="I965" t="str">
        <x:v>Adequado</x:v>
      </x:c>
      <x:c r="J965" t="str">
        <x:v>CAEd_DadosExportados (1).zip</x:v>
      </x:c>
    </x:row>
    <x:row r="966">
      <x:c r="A966" t="str">
        <x:v>2A025</x:v>
      </x:c>
      <x:c r="B966" t="str">
        <x:v>2º ano</x:v>
      </x:c>
      <x:c r="C966" t="str">
        <x:v>referencia</x:v>
      </x:c>
      <x:c r="D966" t="str">
        <x:v>H07</x:v>
      </x:c>
      <x:c r="E966" t="n">
        <x:v>2</x:v>
      </x:c>
      <x:c r="F966" t="n">
        <x:v>2</x:v>
      </x:c>
      <x:c r="G966" t="n">
        <x:f>F966-E966</x:f>
        <x:v>0</x:v>
      </x:c>
      <x:c r="H966" s="2" t="n">
        <x:f>IFERROR(E966/F966,0)</x:f>
        <x:v>1</x:v>
      </x:c>
      <x:c r="I966" t="str">
        <x:v>Adequado</x:v>
      </x:c>
      <x:c r="J966" t="str">
        <x:v>CAEd_DadosExportados (1).zip</x:v>
      </x:c>
    </x:row>
    <x:row r="967">
      <x:c r="A967" t="str">
        <x:v>2A025</x:v>
      </x:c>
      <x:c r="B967" t="str">
        <x:v>2º ano</x:v>
      </x:c>
      <x:c r="C967" t="str">
        <x:v>referencia</x:v>
      </x:c>
      <x:c r="D967" t="str">
        <x:v>H08</x:v>
      </x:c>
      <x:c r="E967" t="n">
        <x:v>2</x:v>
      </x:c>
      <x:c r="F967" t="n">
        <x:v>2</x:v>
      </x:c>
      <x:c r="G967" t="n">
        <x:f>F967-E967</x:f>
        <x:v>0</x:v>
      </x:c>
      <x:c r="H967" s="2" t="n">
        <x:f>IFERROR(E967/F967,0)</x:f>
        <x:v>1</x:v>
      </x:c>
      <x:c r="I967" t="str">
        <x:v>Adequado</x:v>
      </x:c>
      <x:c r="J967" t="str">
        <x:v>CAEd_DadosExportados (1).zip</x:v>
      </x:c>
    </x:row>
    <x:row r="968">
      <x:c r="A968" t="str">
        <x:v>2A025</x:v>
      </x:c>
      <x:c r="B968" t="str">
        <x:v>2º ano</x:v>
      </x:c>
      <x:c r="C968" t="str">
        <x:v>referencia</x:v>
      </x:c>
      <x:c r="D968" t="str">
        <x:v>H09</x:v>
      </x:c>
      <x:c r="E968" t="n">
        <x:v>2</x:v>
      </x:c>
      <x:c r="F968" t="n">
        <x:v>2</x:v>
      </x:c>
      <x:c r="G968" t="n">
        <x:f>F968-E968</x:f>
        <x:v>0</x:v>
      </x:c>
      <x:c r="H968" s="2" t="n">
        <x:f>IFERROR(E968/F968,0)</x:f>
        <x:v>1</x:v>
      </x:c>
      <x:c r="I968" t="str">
        <x:v>Adequado</x:v>
      </x:c>
      <x:c r="J968" t="str">
        <x:v>CAEd_DadosExportados (1).zip</x:v>
      </x:c>
    </x:row>
    <x:row r="969">
      <x:c r="A969" t="str">
        <x:v>2A025</x:v>
      </x:c>
      <x:c r="B969" t="str">
        <x:v>2º ano</x:v>
      </x:c>
      <x:c r="C969" t="str">
        <x:v>referencia</x:v>
      </x:c>
      <x:c r="D969" t="str">
        <x:v>H10</x:v>
      </x:c>
      <x:c r="E969" t="n">
        <x:v>1</x:v>
      </x:c>
      <x:c r="F969" t="n">
        <x:v>1</x:v>
      </x:c>
      <x:c r="G969" t="n">
        <x:f>F969-E969</x:f>
        <x:v>0</x:v>
      </x:c>
      <x:c r="H969" s="2" t="n">
        <x:f>IFERROR(E969/F969,0)</x:f>
        <x:v>1</x:v>
      </x:c>
      <x:c r="I969" t="str">
        <x:v>Adequado</x:v>
      </x:c>
      <x:c r="J969" t="str">
        <x:v>CAEd_DadosExportados (1).zip</x:v>
      </x:c>
    </x:row>
    <x:row r="970">
      <x:c r="A970" t="str">
        <x:v>2A025</x:v>
      </x:c>
      <x:c r="B970" t="str">
        <x:v>2º ano</x:v>
      </x:c>
      <x:c r="C970" t="str">
        <x:v>referencia</x:v>
      </x:c>
      <x:c r="D970" t="str">
        <x:v>H11</x:v>
      </x:c>
      <x:c r="E970" t="n">
        <x:v>2</x:v>
      </x:c>
      <x:c r="F970" t="n">
        <x:v>2</x:v>
      </x:c>
      <x:c r="G970" t="n">
        <x:f>F970-E970</x:f>
        <x:v>0</x:v>
      </x:c>
      <x:c r="H970" s="2" t="n">
        <x:f>IFERROR(E970/F970,0)</x:f>
        <x:v>1</x:v>
      </x:c>
      <x:c r="I970" t="str">
        <x:v>Adequado</x:v>
      </x:c>
      <x:c r="J970" t="str">
        <x:v>CAEd_DadosExportados (1).zip</x:v>
      </x:c>
    </x:row>
    <x:row r="971">
      <x:c r="A971" t="str">
        <x:v>2A025</x:v>
      </x:c>
      <x:c r="B971" t="str">
        <x:v>2º ano</x:v>
      </x:c>
      <x:c r="C971" t="str">
        <x:v>referencia</x:v>
      </x:c>
      <x:c r="D971" t="str">
        <x:v>H12</x:v>
      </x:c>
      <x:c r="E971" t="n">
        <x:v>1</x:v>
      </x:c>
      <x:c r="F971" t="n">
        <x:v>1</x:v>
      </x:c>
      <x:c r="G971" t="n">
        <x:f>F971-E971</x:f>
        <x:v>0</x:v>
      </x:c>
      <x:c r="H971" s="2" t="n">
        <x:f>IFERROR(E971/F971,0)</x:f>
        <x:v>1</x:v>
      </x:c>
      <x:c r="I971" t="str">
        <x:v>Adequado</x:v>
      </x:c>
      <x:c r="J971" t="str">
        <x:v>CAEd_DadosExportados (1).zip</x:v>
      </x:c>
    </x:row>
    <x:row r="972">
      <x:c r="A972" t="str">
        <x:v>2A025</x:v>
      </x:c>
      <x:c r="B972" t="str">
        <x:v>2º ano</x:v>
      </x:c>
      <x:c r="C972" t="str">
        <x:v>referencia</x:v>
      </x:c>
      <x:c r="D972" t="str">
        <x:v>H13</x:v>
      </x:c>
      <x:c r="E972" t="n">
        <x:v>1</x:v>
      </x:c>
      <x:c r="F972" t="n">
        <x:v>1</x:v>
      </x:c>
      <x:c r="G972" t="n">
        <x:f>F972-E972</x:f>
        <x:v>0</x:v>
      </x:c>
      <x:c r="H972" s="2" t="n">
        <x:f>IFERROR(E972/F972,0)</x:f>
        <x:v>1</x:v>
      </x:c>
      <x:c r="I972" t="str">
        <x:v>Adequado</x:v>
      </x:c>
      <x:c r="J972" t="str">
        <x:v>CAEd_DadosExportados (1).zip</x:v>
      </x:c>
    </x:row>
    <x:row r="973">
      <x:c r="A973" t="str">
        <x:v>2A026</x:v>
      </x:c>
      <x:c r="B973" t="str">
        <x:v>2º ano</x:v>
      </x:c>
      <x:c r="C973" t="str">
        <x:v>contraprova</x:v>
      </x:c>
      <x:c r="D973" t="str">
        <x:v>H01</x:v>
      </x:c>
      <x:c r="E973" t="n">
        <x:v>0</x:v>
      </x:c>
      <x:c r="F973" t="n">
        <x:v>2</x:v>
      </x:c>
      <x:c r="G973" t="n">
        <x:f>F973-E973</x:f>
        <x:v>2</x:v>
      </x:c>
      <x:c r="H973" s="2" t="n">
        <x:f>IFERROR(E973/F973,0)</x:f>
        <x:v>0</x:v>
      </x:c>
      <x:c r="I973" t="str">
        <x:v>Intermediário</x:v>
      </x:c>
      <x:c r="J973" t="str">
        <x:v>CAEd_DadosExportados (2).zip</x:v>
      </x:c>
    </x:row>
    <x:row r="974">
      <x:c r="A974" t="str">
        <x:v>2A026</x:v>
      </x:c>
      <x:c r="B974" t="str">
        <x:v>2º ano</x:v>
      </x:c>
      <x:c r="C974" t="str">
        <x:v>contraprova</x:v>
      </x:c>
      <x:c r="D974" t="str">
        <x:v>H02</x:v>
      </x:c>
      <x:c r="E974" t="n">
        <x:v>2</x:v>
      </x:c>
      <x:c r="F974" t="n">
        <x:v>2</x:v>
      </x:c>
      <x:c r="G974" t="n">
        <x:f>F974-E974</x:f>
        <x:v>0</x:v>
      </x:c>
      <x:c r="H974" s="2" t="n">
        <x:f>IFERROR(E974/F974,0)</x:f>
        <x:v>1</x:v>
      </x:c>
      <x:c r="I974" t="str">
        <x:v>Intermediário</x:v>
      </x:c>
      <x:c r="J974" t="str">
        <x:v>CAEd_DadosExportados (2).zip</x:v>
      </x:c>
    </x:row>
    <x:row r="975">
      <x:c r="A975" t="str">
        <x:v>2A026</x:v>
      </x:c>
      <x:c r="B975" t="str">
        <x:v>2º ano</x:v>
      </x:c>
      <x:c r="C975" t="str">
        <x:v>contraprova</x:v>
      </x:c>
      <x:c r="D975" t="str">
        <x:v>H03</x:v>
      </x:c>
      <x:c r="E975" t="n">
        <x:v>2</x:v>
      </x:c>
      <x:c r="F975" t="n">
        <x:v>2</x:v>
      </x:c>
      <x:c r="G975" t="n">
        <x:f>F975-E975</x:f>
        <x:v>0</x:v>
      </x:c>
      <x:c r="H975" s="2" t="n">
        <x:f>IFERROR(E975/F975,0)</x:f>
        <x:v>1</x:v>
      </x:c>
      <x:c r="I975" t="str">
        <x:v>Intermediário</x:v>
      </x:c>
      <x:c r="J975" t="str">
        <x:v>CAEd_DadosExportados (2).zip</x:v>
      </x:c>
    </x:row>
    <x:row r="976">
      <x:c r="A976" t="str">
        <x:v>2A026</x:v>
      </x:c>
      <x:c r="B976" t="str">
        <x:v>2º ano</x:v>
      </x:c>
      <x:c r="C976" t="str">
        <x:v>contraprova</x:v>
      </x:c>
      <x:c r="D976" t="str">
        <x:v>H04</x:v>
      </x:c>
      <x:c r="E976" t="n">
        <x:v>2</x:v>
      </x:c>
      <x:c r="F976" t="n">
        <x:v>2</x:v>
      </x:c>
      <x:c r="G976" t="n">
        <x:f>F976-E976</x:f>
        <x:v>0</x:v>
      </x:c>
      <x:c r="H976" s="2" t="n">
        <x:f>IFERROR(E976/F976,0)</x:f>
        <x:v>1</x:v>
      </x:c>
      <x:c r="I976" t="str">
        <x:v>Intermediário</x:v>
      </x:c>
      <x:c r="J976" t="str">
        <x:v>CAEd_DadosExportados (2).zip</x:v>
      </x:c>
    </x:row>
    <x:row r="977">
      <x:c r="A977" t="str">
        <x:v>2A026</x:v>
      </x:c>
      <x:c r="B977" t="str">
        <x:v>2º ano</x:v>
      </x:c>
      <x:c r="C977" t="str">
        <x:v>contraprova</x:v>
      </x:c>
      <x:c r="D977" t="str">
        <x:v>H05</x:v>
      </x:c>
      <x:c r="E977" t="n">
        <x:v>2</x:v>
      </x:c>
      <x:c r="F977" t="n">
        <x:v>2</x:v>
      </x:c>
      <x:c r="G977" t="n">
        <x:f>F977-E977</x:f>
        <x:v>0</x:v>
      </x:c>
      <x:c r="H977" s="2" t="n">
        <x:f>IFERROR(E977/F977,0)</x:f>
        <x:v>1</x:v>
      </x:c>
      <x:c r="I977" t="str">
        <x:v>Intermediário</x:v>
      </x:c>
      <x:c r="J977" t="str">
        <x:v>CAEd_DadosExportados (2).zip</x:v>
      </x:c>
    </x:row>
    <x:row r="978">
      <x:c r="A978" t="str">
        <x:v>2A026</x:v>
      </x:c>
      <x:c r="B978" t="str">
        <x:v>2º ano</x:v>
      </x:c>
      <x:c r="C978" t="str">
        <x:v>contraprova</x:v>
      </x:c>
      <x:c r="D978" t="str">
        <x:v>H06</x:v>
      </x:c>
      <x:c r="E978" t="n">
        <x:v>2</x:v>
      </x:c>
      <x:c r="F978" t="n">
        <x:v>2</x:v>
      </x:c>
      <x:c r="G978" t="n">
        <x:f>F978-E978</x:f>
        <x:v>0</x:v>
      </x:c>
      <x:c r="H978" s="2" t="n">
        <x:f>IFERROR(E978/F978,0)</x:f>
        <x:v>1</x:v>
      </x:c>
      <x:c r="I978" t="str">
        <x:v>Intermediário</x:v>
      </x:c>
      <x:c r="J978" t="str">
        <x:v>CAEd_DadosExportados (2).zip</x:v>
      </x:c>
    </x:row>
    <x:row r="979">
      <x:c r="A979" t="str">
        <x:v>2A026</x:v>
      </x:c>
      <x:c r="B979" t="str">
        <x:v>2º ano</x:v>
      </x:c>
      <x:c r="C979" t="str">
        <x:v>contraprova</x:v>
      </x:c>
      <x:c r="D979" t="str">
        <x:v>H07</x:v>
      </x:c>
      <x:c r="E979" t="n">
        <x:v>0</x:v>
      </x:c>
      <x:c r="F979" t="n">
        <x:v>2</x:v>
      </x:c>
      <x:c r="G979" t="n">
        <x:f>F979-E979</x:f>
        <x:v>2</x:v>
      </x:c>
      <x:c r="H979" s="2" t="n">
        <x:f>IFERROR(E979/F979,0)</x:f>
        <x:v>0</x:v>
      </x:c>
      <x:c r="I979" t="str">
        <x:v>Intermediário</x:v>
      </x:c>
      <x:c r="J979" t="str">
        <x:v>CAEd_DadosExportados (2).zip</x:v>
      </x:c>
    </x:row>
    <x:row r="980">
      <x:c r="A980" t="str">
        <x:v>2A026</x:v>
      </x:c>
      <x:c r="B980" t="str">
        <x:v>2º ano</x:v>
      </x:c>
      <x:c r="C980" t="str">
        <x:v>contraprova</x:v>
      </x:c>
      <x:c r="D980" t="str">
        <x:v>H08</x:v>
      </x:c>
      <x:c r="E980" t="n">
        <x:v>0</x:v>
      </x:c>
      <x:c r="F980" t="n">
        <x:v>2</x:v>
      </x:c>
      <x:c r="G980" t="n">
        <x:f>F980-E980</x:f>
        <x:v>2</x:v>
      </x:c>
      <x:c r="H980" s="2" t="n">
        <x:f>IFERROR(E980/F980,0)</x:f>
        <x:v>0</x:v>
      </x:c>
      <x:c r="I980" t="str">
        <x:v>Intermediário</x:v>
      </x:c>
      <x:c r="J980" t="str">
        <x:v>CAEd_DadosExportados (2).zip</x:v>
      </x:c>
    </x:row>
    <x:row r="981">
      <x:c r="A981" t="str">
        <x:v>2A026</x:v>
      </x:c>
      <x:c r="B981" t="str">
        <x:v>2º ano</x:v>
      </x:c>
      <x:c r="C981" t="str">
        <x:v>contraprova</x:v>
      </x:c>
      <x:c r="D981" t="str">
        <x:v>H09</x:v>
      </x:c>
      <x:c r="E981" t="n">
        <x:v>2</x:v>
      </x:c>
      <x:c r="F981" t="n">
        <x:v>2</x:v>
      </x:c>
      <x:c r="G981" t="n">
        <x:f>F981-E981</x:f>
        <x:v>0</x:v>
      </x:c>
      <x:c r="H981" s="2" t="n">
        <x:f>IFERROR(E981/F981,0)</x:f>
        <x:v>1</x:v>
      </x:c>
      <x:c r="I981" t="str">
        <x:v>Intermediário</x:v>
      </x:c>
      <x:c r="J981" t="str">
        <x:v>CAEd_DadosExportados (2).zip</x:v>
      </x:c>
    </x:row>
    <x:row r="982">
      <x:c r="A982" t="str">
        <x:v>2A026</x:v>
      </x:c>
      <x:c r="B982" t="str">
        <x:v>2º ano</x:v>
      </x:c>
      <x:c r="C982" t="str">
        <x:v>contraprova</x:v>
      </x:c>
      <x:c r="D982" t="str">
        <x:v>H10</x:v>
      </x:c>
      <x:c r="E982" t="n">
        <x:v>2</x:v>
      </x:c>
      <x:c r="F982" t="n">
        <x:v>2</x:v>
      </x:c>
      <x:c r="G982" t="n">
        <x:f>F982-E982</x:f>
        <x:v>0</x:v>
      </x:c>
      <x:c r="H982" s="2" t="n">
        <x:f>IFERROR(E982/F982,0)</x:f>
        <x:v>1</x:v>
      </x:c>
      <x:c r="I982" t="str">
        <x:v>Intermediário</x:v>
      </x:c>
      <x:c r="J982" t="str">
        <x:v>CAEd_DadosExportados (2).zip</x:v>
      </x:c>
    </x:row>
    <x:row r="983">
      <x:c r="A983" t="str">
        <x:v>2A026</x:v>
      </x:c>
      <x:c r="B983" t="str">
        <x:v>2º ano</x:v>
      </x:c>
      <x:c r="C983" t="str">
        <x:v>contraprova</x:v>
      </x:c>
      <x:c r="D983" t="str">
        <x:v>H11</x:v>
      </x:c>
      <x:c r="E983" t="n">
        <x:v>1</x:v>
      </x:c>
      <x:c r="F983" t="n">
        <x:v>2</x:v>
      </x:c>
      <x:c r="G983" t="n">
        <x:f>F983-E983</x:f>
        <x:v>1</x:v>
      </x:c>
      <x:c r="H983" s="2" t="n">
        <x:f>IFERROR(E983/F983,0)</x:f>
        <x:v>0.5</x:v>
      </x:c>
      <x:c r="I983" t="str">
        <x:v>Intermediário</x:v>
      </x:c>
      <x:c r="J983" t="str">
        <x:v>CAEd_DadosExportados (2).zip</x:v>
      </x:c>
    </x:row>
    <x:row r="984">
      <x:c r="A984" t="str">
        <x:v>2A026</x:v>
      </x:c>
      <x:c r="B984" t="str">
        <x:v>2º ano</x:v>
      </x:c>
      <x:c r="C984" t="str">
        <x:v>referencia</x:v>
      </x:c>
      <x:c r="D984" t="str">
        <x:v>H01</x:v>
      </x:c>
      <x:c r="E984" t="n">
        <x:v>1</x:v>
      </x:c>
      <x:c r="F984" t="n">
        <x:v>2</x:v>
      </x:c>
      <x:c r="G984" t="n">
        <x:f>F984-E984</x:f>
        <x:v>1</x:v>
      </x:c>
      <x:c r="H984" s="2" t="n">
        <x:f>IFERROR(E984/F984,0)</x:f>
        <x:v>0.5</x:v>
      </x:c>
      <x:c r="I984" t="str">
        <x:v>Adequado</x:v>
      </x:c>
      <x:c r="J984" t="str">
        <x:v>CAEd_DadosExportados (1).zip</x:v>
      </x:c>
    </x:row>
    <x:row r="985">
      <x:c r="A985" t="str">
        <x:v>2A026</x:v>
      </x:c>
      <x:c r="B985" t="str">
        <x:v>2º ano</x:v>
      </x:c>
      <x:c r="C985" t="str">
        <x:v>referencia</x:v>
      </x:c>
      <x:c r="D985" t="str">
        <x:v>H02</x:v>
      </x:c>
      <x:c r="E985" t="n">
        <x:v>2</x:v>
      </x:c>
      <x:c r="F985" t="n">
        <x:v>2</x:v>
      </x:c>
      <x:c r="G985" t="n">
        <x:f>F985-E985</x:f>
        <x:v>0</x:v>
      </x:c>
      <x:c r="H985" s="2" t="n">
        <x:f>IFERROR(E985/F985,0)</x:f>
        <x:v>1</x:v>
      </x:c>
      <x:c r="I985" t="str">
        <x:v>Adequado</x:v>
      </x:c>
      <x:c r="J985" t="str">
        <x:v>CAEd_DadosExportados (1).zip</x:v>
      </x:c>
    </x:row>
    <x:row r="986">
      <x:c r="A986" t="str">
        <x:v>2A026</x:v>
      </x:c>
      <x:c r="B986" t="str">
        <x:v>2º ano</x:v>
      </x:c>
      <x:c r="C986" t="str">
        <x:v>referencia</x:v>
      </x:c>
      <x:c r="D986" t="str">
        <x:v>H03</x:v>
      </x:c>
      <x:c r="E986" t="n">
        <x:v>2</x:v>
      </x:c>
      <x:c r="F986" t="n">
        <x:v>2</x:v>
      </x:c>
      <x:c r="G986" t="n">
        <x:f>F986-E986</x:f>
        <x:v>0</x:v>
      </x:c>
      <x:c r="H986" s="2" t="n">
        <x:f>IFERROR(E986/F986,0)</x:f>
        <x:v>1</x:v>
      </x:c>
      <x:c r="I986" t="str">
        <x:v>Adequado</x:v>
      </x:c>
      <x:c r="J986" t="str">
        <x:v>CAEd_DadosExportados (1).zip</x:v>
      </x:c>
    </x:row>
    <x:row r="987">
      <x:c r="A987" t="str">
        <x:v>2A026</x:v>
      </x:c>
      <x:c r="B987" t="str">
        <x:v>2º ano</x:v>
      </x:c>
      <x:c r="C987" t="str">
        <x:v>referencia</x:v>
      </x:c>
      <x:c r="D987" t="str">
        <x:v>H04</x:v>
      </x:c>
      <x:c r="E987" t="n">
        <x:v>2</x:v>
      </x:c>
      <x:c r="F987" t="n">
        <x:v>2</x:v>
      </x:c>
      <x:c r="G987" t="n">
        <x:f>F987-E987</x:f>
        <x:v>0</x:v>
      </x:c>
      <x:c r="H987" s="2" t="n">
        <x:f>IFERROR(E987/F987,0)</x:f>
        <x:v>1</x:v>
      </x:c>
      <x:c r="I987" t="str">
        <x:v>Adequado</x:v>
      </x:c>
      <x:c r="J987" t="str">
        <x:v>CAEd_DadosExportados (1).zip</x:v>
      </x:c>
    </x:row>
    <x:row r="988">
      <x:c r="A988" t="str">
        <x:v>2A026</x:v>
      </x:c>
      <x:c r="B988" t="str">
        <x:v>2º ano</x:v>
      </x:c>
      <x:c r="C988" t="str">
        <x:v>referencia</x:v>
      </x:c>
      <x:c r="D988" t="str">
        <x:v>H05</x:v>
      </x:c>
      <x:c r="E988" t="n">
        <x:v>1</x:v>
      </x:c>
      <x:c r="F988" t="n">
        <x:v>1</x:v>
      </x:c>
      <x:c r="G988" t="n">
        <x:f>F988-E988</x:f>
        <x:v>0</x:v>
      </x:c>
      <x:c r="H988" s="2" t="n">
        <x:f>IFERROR(E988/F988,0)</x:f>
        <x:v>1</x:v>
      </x:c>
      <x:c r="I988" t="str">
        <x:v>Adequado</x:v>
      </x:c>
      <x:c r="J988" t="str">
        <x:v>CAEd_DadosExportados (1).zip</x:v>
      </x:c>
    </x:row>
    <x:row r="989">
      <x:c r="A989" t="str">
        <x:v>2A026</x:v>
      </x:c>
      <x:c r="B989" t="str">
        <x:v>2º ano</x:v>
      </x:c>
      <x:c r="C989" t="str">
        <x:v>referencia</x:v>
      </x:c>
      <x:c r="D989" t="str">
        <x:v>H06</x:v>
      </x:c>
      <x:c r="E989" t="n">
        <x:v>2</x:v>
      </x:c>
      <x:c r="F989" t="n">
        <x:v>2</x:v>
      </x:c>
      <x:c r="G989" t="n">
        <x:f>F989-E989</x:f>
        <x:v>0</x:v>
      </x:c>
      <x:c r="H989" s="2" t="n">
        <x:f>IFERROR(E989/F989,0)</x:f>
        <x:v>1</x:v>
      </x:c>
      <x:c r="I989" t="str">
        <x:v>Adequado</x:v>
      </x:c>
      <x:c r="J989" t="str">
        <x:v>CAEd_DadosExportados (1).zip</x:v>
      </x:c>
    </x:row>
    <x:row r="990">
      <x:c r="A990" t="str">
        <x:v>2A026</x:v>
      </x:c>
      <x:c r="B990" t="str">
        <x:v>2º ano</x:v>
      </x:c>
      <x:c r="C990" t="str">
        <x:v>referencia</x:v>
      </x:c>
      <x:c r="D990" t="str">
        <x:v>H07</x:v>
      </x:c>
      <x:c r="E990" t="n">
        <x:v>2</x:v>
      </x:c>
      <x:c r="F990" t="n">
        <x:v>2</x:v>
      </x:c>
      <x:c r="G990" t="n">
        <x:f>F990-E990</x:f>
        <x:v>0</x:v>
      </x:c>
      <x:c r="H990" s="2" t="n">
        <x:f>IFERROR(E990/F990,0)</x:f>
        <x:v>1</x:v>
      </x:c>
      <x:c r="I990" t="str">
        <x:v>Adequado</x:v>
      </x:c>
      <x:c r="J990" t="str">
        <x:v>CAEd_DadosExportados (1).zip</x:v>
      </x:c>
    </x:row>
    <x:row r="991">
      <x:c r="A991" t="str">
        <x:v>2A026</x:v>
      </x:c>
      <x:c r="B991" t="str">
        <x:v>2º ano</x:v>
      </x:c>
      <x:c r="C991" t="str">
        <x:v>referencia</x:v>
      </x:c>
      <x:c r="D991" t="str">
        <x:v>H08</x:v>
      </x:c>
      <x:c r="E991" t="n">
        <x:v>2</x:v>
      </x:c>
      <x:c r="F991" t="n">
        <x:v>2</x:v>
      </x:c>
      <x:c r="G991" t="n">
        <x:f>F991-E991</x:f>
        <x:v>0</x:v>
      </x:c>
      <x:c r="H991" s="2" t="n">
        <x:f>IFERROR(E991/F991,0)</x:f>
        <x:v>1</x:v>
      </x:c>
      <x:c r="I991" t="str">
        <x:v>Adequado</x:v>
      </x:c>
      <x:c r="J991" t="str">
        <x:v>CAEd_DadosExportados (1).zip</x:v>
      </x:c>
    </x:row>
    <x:row r="992">
      <x:c r="A992" t="str">
        <x:v>2A026</x:v>
      </x:c>
      <x:c r="B992" t="str">
        <x:v>2º ano</x:v>
      </x:c>
      <x:c r="C992" t="str">
        <x:v>referencia</x:v>
      </x:c>
      <x:c r="D992" t="str">
        <x:v>H09</x:v>
      </x:c>
      <x:c r="E992" t="n">
        <x:v>2</x:v>
      </x:c>
      <x:c r="F992" t="n">
        <x:v>2</x:v>
      </x:c>
      <x:c r="G992" t="n">
        <x:f>F992-E992</x:f>
        <x:v>0</x:v>
      </x:c>
      <x:c r="H992" s="2" t="n">
        <x:f>IFERROR(E992/F992,0)</x:f>
        <x:v>1</x:v>
      </x:c>
      <x:c r="I992" t="str">
        <x:v>Adequado</x:v>
      </x:c>
      <x:c r="J992" t="str">
        <x:v>CAEd_DadosExportados (1).zip</x:v>
      </x:c>
    </x:row>
    <x:row r="993">
      <x:c r="A993" t="str">
        <x:v>2A026</x:v>
      </x:c>
      <x:c r="B993" t="str">
        <x:v>2º ano</x:v>
      </x:c>
      <x:c r="C993" t="str">
        <x:v>referencia</x:v>
      </x:c>
      <x:c r="D993" t="str">
        <x:v>H10</x:v>
      </x:c>
      <x:c r="E993" t="n">
        <x:v>1</x:v>
      </x:c>
      <x:c r="F993" t="n">
        <x:v>1</x:v>
      </x:c>
      <x:c r="G993" t="n">
        <x:f>F993-E993</x:f>
        <x:v>0</x:v>
      </x:c>
      <x:c r="H993" s="2" t="n">
        <x:f>IFERROR(E993/F993,0)</x:f>
        <x:v>1</x:v>
      </x:c>
      <x:c r="I993" t="str">
        <x:v>Adequado</x:v>
      </x:c>
      <x:c r="J993" t="str">
        <x:v>CAEd_DadosExportados (1).zip</x:v>
      </x:c>
    </x:row>
    <x:row r="994">
      <x:c r="A994" t="str">
        <x:v>2A026</x:v>
      </x:c>
      <x:c r="B994" t="str">
        <x:v>2º ano</x:v>
      </x:c>
      <x:c r="C994" t="str">
        <x:v>referencia</x:v>
      </x:c>
      <x:c r="D994" t="str">
        <x:v>H11</x:v>
      </x:c>
      <x:c r="E994" t="n">
        <x:v>2</x:v>
      </x:c>
      <x:c r="F994" t="n">
        <x:v>2</x:v>
      </x:c>
      <x:c r="G994" t="n">
        <x:f>F994-E994</x:f>
        <x:v>0</x:v>
      </x:c>
      <x:c r="H994" s="2" t="n">
        <x:f>IFERROR(E994/F994,0)</x:f>
        <x:v>1</x:v>
      </x:c>
      <x:c r="I994" t="str">
        <x:v>Adequado</x:v>
      </x:c>
      <x:c r="J994" t="str">
        <x:v>CAEd_DadosExportados (1).zip</x:v>
      </x:c>
    </x:row>
    <x:row r="995">
      <x:c r="A995" t="str">
        <x:v>2A026</x:v>
      </x:c>
      <x:c r="B995" t="str">
        <x:v>2º ano</x:v>
      </x:c>
      <x:c r="C995" t="str">
        <x:v>referencia</x:v>
      </x:c>
      <x:c r="D995" t="str">
        <x:v>H12</x:v>
      </x:c>
      <x:c r="E995" t="n">
        <x:v>1</x:v>
      </x:c>
      <x:c r="F995" t="n">
        <x:v>1</x:v>
      </x:c>
      <x:c r="G995" t="n">
        <x:f>F995-E995</x:f>
        <x:v>0</x:v>
      </x:c>
      <x:c r="H995" s="2" t="n">
        <x:f>IFERROR(E995/F995,0)</x:f>
        <x:v>1</x:v>
      </x:c>
      <x:c r="I995" t="str">
        <x:v>Adequado</x:v>
      </x:c>
      <x:c r="J995" t="str">
        <x:v>CAEd_DadosExportados (1).zip</x:v>
      </x:c>
    </x:row>
    <x:row r="996">
      <x:c r="A996" t="str">
        <x:v>2A026</x:v>
      </x:c>
      <x:c r="B996" t="str">
        <x:v>2º ano</x:v>
      </x:c>
      <x:c r="C996" t="str">
        <x:v>referencia</x:v>
      </x:c>
      <x:c r="D996" t="str">
        <x:v>H13</x:v>
      </x:c>
      <x:c r="E996" t="n">
        <x:v>1</x:v>
      </x:c>
      <x:c r="F996" t="n">
        <x:v>1</x:v>
      </x:c>
      <x:c r="G996" t="n">
        <x:f>F996-E996</x:f>
        <x:v>0</x:v>
      </x:c>
      <x:c r="H996" s="2" t="n">
        <x:f>IFERROR(E996/F996,0)</x:f>
        <x:v>1</x:v>
      </x:c>
      <x:c r="I996" t="str">
        <x:v>Adequado</x:v>
      </x:c>
      <x:c r="J996" t="str">
        <x:v>CAEd_DadosExportados (1).zip</x:v>
      </x:c>
    </x:row>
    <x:row r="997">
      <x:c r="A997" t="str">
        <x:v>2A027</x:v>
      </x:c>
      <x:c r="B997" t="str">
        <x:v>2º ano</x:v>
      </x:c>
      <x:c r="C997" t="str">
        <x:v>contraprova</x:v>
      </x:c>
      <x:c r="D997" t="str">
        <x:v>H01</x:v>
      </x:c>
      <x:c r="E997" t="n">
        <x:v>2</x:v>
      </x:c>
      <x:c r="F997" t="n">
        <x:v>2</x:v>
      </x:c>
      <x:c r="G997" t="n">
        <x:f>F997-E997</x:f>
        <x:v>0</x:v>
      </x:c>
      <x:c r="H997" s="2" t="n">
        <x:f>IFERROR(E997/F997,0)</x:f>
        <x:v>1</x:v>
      </x:c>
      <x:c r="I997" t="str">
        <x:v>Adequado</x:v>
      </x:c>
      <x:c r="J997" t="str">
        <x:v>CAEd_DadosExportados (2).zip</x:v>
      </x:c>
    </x:row>
    <x:row r="998">
      <x:c r="A998" t="str">
        <x:v>2A027</x:v>
      </x:c>
      <x:c r="B998" t="str">
        <x:v>2º ano</x:v>
      </x:c>
      <x:c r="C998" t="str">
        <x:v>contraprova</x:v>
      </x:c>
      <x:c r="D998" t="str">
        <x:v>H02</x:v>
      </x:c>
      <x:c r="E998" t="n">
        <x:v>2</x:v>
      </x:c>
      <x:c r="F998" t="n">
        <x:v>2</x:v>
      </x:c>
      <x:c r="G998" t="n">
        <x:f>F998-E998</x:f>
        <x:v>0</x:v>
      </x:c>
      <x:c r="H998" s="2" t="n">
        <x:f>IFERROR(E998/F998,0)</x:f>
        <x:v>1</x:v>
      </x:c>
      <x:c r="I998" t="str">
        <x:v>Adequado</x:v>
      </x:c>
      <x:c r="J998" t="str">
        <x:v>CAEd_DadosExportados (2).zip</x:v>
      </x:c>
    </x:row>
    <x:row r="999">
      <x:c r="A999" t="str">
        <x:v>2A027</x:v>
      </x:c>
      <x:c r="B999" t="str">
        <x:v>2º ano</x:v>
      </x:c>
      <x:c r="C999" t="str">
        <x:v>contraprova</x:v>
      </x:c>
      <x:c r="D999" t="str">
        <x:v>H03</x:v>
      </x:c>
      <x:c r="E999" t="n">
        <x:v>2</x:v>
      </x:c>
      <x:c r="F999" t="n">
        <x:v>2</x:v>
      </x:c>
      <x:c r="G999" t="n">
        <x:f>F999-E999</x:f>
        <x:v>0</x:v>
      </x:c>
      <x:c r="H999" s="2" t="n">
        <x:f>IFERROR(E999/F999,0)</x:f>
        <x:v>1</x:v>
      </x:c>
      <x:c r="I999" t="str">
        <x:v>Adequado</x:v>
      </x:c>
      <x:c r="J999" t="str">
        <x:v>CAEd_DadosExportados (2).zip</x:v>
      </x:c>
    </x:row>
    <x:row r="1000">
      <x:c r="A1000" t="str">
        <x:v>2A027</x:v>
      </x:c>
      <x:c r="B1000" t="str">
        <x:v>2º ano</x:v>
      </x:c>
      <x:c r="C1000" t="str">
        <x:v>contraprova</x:v>
      </x:c>
      <x:c r="D1000" t="str">
        <x:v>H04</x:v>
      </x:c>
      <x:c r="E1000" t="n">
        <x:v>2</x:v>
      </x:c>
      <x:c r="F1000" t="n">
        <x:v>2</x:v>
      </x:c>
      <x:c r="G1000" t="n">
        <x:f>F1000-E1000</x:f>
        <x:v>0</x:v>
      </x:c>
      <x:c r="H1000" s="2" t="n">
        <x:f>IFERROR(E1000/F1000,0)</x:f>
        <x:v>1</x:v>
      </x:c>
      <x:c r="I1000" t="str">
        <x:v>Adequado</x:v>
      </x:c>
      <x:c r="J1000" t="str">
        <x:v>CAEd_DadosExportados (2).zip</x:v>
      </x:c>
    </x:row>
    <x:row r="1001">
      <x:c r="A1001" t="str">
        <x:v>2A027</x:v>
      </x:c>
      <x:c r="B1001" t="str">
        <x:v>2º ano</x:v>
      </x:c>
      <x:c r="C1001" t="str">
        <x:v>contraprova</x:v>
      </x:c>
      <x:c r="D1001" t="str">
        <x:v>H05</x:v>
      </x:c>
      <x:c r="E1001" t="n">
        <x:v>2</x:v>
      </x:c>
      <x:c r="F1001" t="n">
        <x:v>2</x:v>
      </x:c>
      <x:c r="G1001" t="n">
        <x:f>F1001-E1001</x:f>
        <x:v>0</x:v>
      </x:c>
      <x:c r="H1001" s="2" t="n">
        <x:f>IFERROR(E1001/F1001,0)</x:f>
        <x:v>1</x:v>
      </x:c>
      <x:c r="I1001" t="str">
        <x:v>Adequado</x:v>
      </x:c>
      <x:c r="J1001" t="str">
        <x:v>CAEd_DadosExportados (2).zip</x:v>
      </x:c>
    </x:row>
    <x:row r="1002">
      <x:c r="A1002" t="str">
        <x:v>2A027</x:v>
      </x:c>
      <x:c r="B1002" t="str">
        <x:v>2º ano</x:v>
      </x:c>
      <x:c r="C1002" t="str">
        <x:v>contraprova</x:v>
      </x:c>
      <x:c r="D1002" t="str">
        <x:v>H06</x:v>
      </x:c>
      <x:c r="E1002" t="n">
        <x:v>2</x:v>
      </x:c>
      <x:c r="F1002" t="n">
        <x:v>2</x:v>
      </x:c>
      <x:c r="G1002" t="n">
        <x:f>F1002-E1002</x:f>
        <x:v>0</x:v>
      </x:c>
      <x:c r="H1002" s="2" t="n">
        <x:f>IFERROR(E1002/F1002,0)</x:f>
        <x:v>1</x:v>
      </x:c>
      <x:c r="I1002" t="str">
        <x:v>Adequado</x:v>
      </x:c>
      <x:c r="J1002" t="str">
        <x:v>CAEd_DadosExportados (2).zip</x:v>
      </x:c>
    </x:row>
    <x:row r="1003">
      <x:c r="A1003" t="str">
        <x:v>2A027</x:v>
      </x:c>
      <x:c r="B1003" t="str">
        <x:v>2º ano</x:v>
      </x:c>
      <x:c r="C1003" t="str">
        <x:v>contraprova</x:v>
      </x:c>
      <x:c r="D1003" t="str">
        <x:v>H07</x:v>
      </x:c>
      <x:c r="E1003" t="n">
        <x:v>0</x:v>
      </x:c>
      <x:c r="F1003" t="n">
        <x:v>2</x:v>
      </x:c>
      <x:c r="G1003" t="n">
        <x:f>F1003-E1003</x:f>
        <x:v>2</x:v>
      </x:c>
      <x:c r="H1003" s="2" t="n">
        <x:f>IFERROR(E1003/F1003,0)</x:f>
        <x:v>0</x:v>
      </x:c>
      <x:c r="I1003" t="str">
        <x:v>Adequado</x:v>
      </x:c>
      <x:c r="J1003" t="str">
        <x:v>CAEd_DadosExportados (2).zip</x:v>
      </x:c>
    </x:row>
    <x:row r="1004">
      <x:c r="A1004" t="str">
        <x:v>2A027</x:v>
      </x:c>
      <x:c r="B1004" t="str">
        <x:v>2º ano</x:v>
      </x:c>
      <x:c r="C1004" t="str">
        <x:v>contraprova</x:v>
      </x:c>
      <x:c r="D1004" t="str">
        <x:v>H08</x:v>
      </x:c>
      <x:c r="E1004" t="n">
        <x:v>1</x:v>
      </x:c>
      <x:c r="F1004" t="n">
        <x:v>2</x:v>
      </x:c>
      <x:c r="G1004" t="n">
        <x:f>F1004-E1004</x:f>
        <x:v>1</x:v>
      </x:c>
      <x:c r="H1004" s="2" t="n">
        <x:f>IFERROR(E1004/F1004,0)</x:f>
        <x:v>0.5</x:v>
      </x:c>
      <x:c r="I1004" t="str">
        <x:v>Adequado</x:v>
      </x:c>
      <x:c r="J1004" t="str">
        <x:v>CAEd_DadosExportados (2).zip</x:v>
      </x:c>
    </x:row>
    <x:row r="1005">
      <x:c r="A1005" t="str">
        <x:v>2A027</x:v>
      </x:c>
      <x:c r="B1005" t="str">
        <x:v>2º ano</x:v>
      </x:c>
      <x:c r="C1005" t="str">
        <x:v>contraprova</x:v>
      </x:c>
      <x:c r="D1005" t="str">
        <x:v>H09</x:v>
      </x:c>
      <x:c r="E1005" t="n">
        <x:v>2</x:v>
      </x:c>
      <x:c r="F1005" t="n">
        <x:v>2</x:v>
      </x:c>
      <x:c r="G1005" t="n">
        <x:f>F1005-E1005</x:f>
        <x:v>0</x:v>
      </x:c>
      <x:c r="H1005" s="2" t="n">
        <x:f>IFERROR(E1005/F1005,0)</x:f>
        <x:v>1</x:v>
      </x:c>
      <x:c r="I1005" t="str">
        <x:v>Adequado</x:v>
      </x:c>
      <x:c r="J1005" t="str">
        <x:v>CAEd_DadosExportados (2).zip</x:v>
      </x:c>
    </x:row>
    <x:row r="1006">
      <x:c r="A1006" t="str">
        <x:v>2A027</x:v>
      </x:c>
      <x:c r="B1006" t="str">
        <x:v>2º ano</x:v>
      </x:c>
      <x:c r="C1006" t="str">
        <x:v>contraprova</x:v>
      </x:c>
      <x:c r="D1006" t="str">
        <x:v>H10</x:v>
      </x:c>
      <x:c r="E1006" t="n">
        <x:v>2</x:v>
      </x:c>
      <x:c r="F1006" t="n">
        <x:v>2</x:v>
      </x:c>
      <x:c r="G1006" t="n">
        <x:f>F1006-E1006</x:f>
        <x:v>0</x:v>
      </x:c>
      <x:c r="H1006" s="2" t="n">
        <x:f>IFERROR(E1006/F1006,0)</x:f>
        <x:v>1</x:v>
      </x:c>
      <x:c r="I1006" t="str">
        <x:v>Adequado</x:v>
      </x:c>
      <x:c r="J1006" t="str">
        <x:v>CAEd_DadosExportados (2).zip</x:v>
      </x:c>
    </x:row>
    <x:row r="1007">
      <x:c r="A1007" t="str">
        <x:v>2A027</x:v>
      </x:c>
      <x:c r="B1007" t="str">
        <x:v>2º ano</x:v>
      </x:c>
      <x:c r="C1007" t="str">
        <x:v>contraprova</x:v>
      </x:c>
      <x:c r="D1007" t="str">
        <x:v>H11</x:v>
      </x:c>
      <x:c r="E1007" t="n">
        <x:v>2</x:v>
      </x:c>
      <x:c r="F1007" t="n">
        <x:v>2</x:v>
      </x:c>
      <x:c r="G1007" t="n">
        <x:f>F1007-E1007</x:f>
        <x:v>0</x:v>
      </x:c>
      <x:c r="H1007" s="2" t="n">
        <x:f>IFERROR(E1007/F1007,0)</x:f>
        <x:v>1</x:v>
      </x:c>
      <x:c r="I1007" t="str">
        <x:v>Adequado</x:v>
      </x:c>
      <x:c r="J1007" t="str">
        <x:v>CAEd_DadosExportados (2).zip</x:v>
      </x:c>
    </x:row>
    <x:row r="1008">
      <x:c r="A1008" t="str">
        <x:v>2A027</x:v>
      </x:c>
      <x:c r="B1008" t="str">
        <x:v>2º ano</x:v>
      </x:c>
      <x:c r="C1008" t="str">
        <x:v>referencia</x:v>
      </x:c>
      <x:c r="D1008" t="str">
        <x:v>H01</x:v>
      </x:c>
      <x:c r="E1008" t="n">
        <x:v>2</x:v>
      </x:c>
      <x:c r="F1008" t="n">
        <x:v>2</x:v>
      </x:c>
      <x:c r="G1008" t="n">
        <x:f>F1008-E1008</x:f>
        <x:v>0</x:v>
      </x:c>
      <x:c r="H1008" s="2" t="n">
        <x:f>IFERROR(E1008/F1008,0)</x:f>
        <x:v>1</x:v>
      </x:c>
      <x:c r="I1008" t="str">
        <x:v>Adequado</x:v>
      </x:c>
      <x:c r="J1008" t="str">
        <x:v>CAEd_DadosExportados (1).zip</x:v>
      </x:c>
    </x:row>
    <x:row r="1009">
      <x:c r="A1009" t="str">
        <x:v>2A027</x:v>
      </x:c>
      <x:c r="B1009" t="str">
        <x:v>2º ano</x:v>
      </x:c>
      <x:c r="C1009" t="str">
        <x:v>referencia</x:v>
      </x:c>
      <x:c r="D1009" t="str">
        <x:v>H02</x:v>
      </x:c>
      <x:c r="E1009" t="n">
        <x:v>2</x:v>
      </x:c>
      <x:c r="F1009" t="n">
        <x:v>2</x:v>
      </x:c>
      <x:c r="G1009" t="n">
        <x:f>F1009-E1009</x:f>
        <x:v>0</x:v>
      </x:c>
      <x:c r="H1009" s="2" t="n">
        <x:f>IFERROR(E1009/F1009,0)</x:f>
        <x:v>1</x:v>
      </x:c>
      <x:c r="I1009" t="str">
        <x:v>Adequado</x:v>
      </x:c>
      <x:c r="J1009" t="str">
        <x:v>CAEd_DadosExportados (1).zip</x:v>
      </x:c>
    </x:row>
    <x:row r="1010">
      <x:c r="A1010" t="str">
        <x:v>2A027</x:v>
      </x:c>
      <x:c r="B1010" t="str">
        <x:v>2º ano</x:v>
      </x:c>
      <x:c r="C1010" t="str">
        <x:v>referencia</x:v>
      </x:c>
      <x:c r="D1010" t="str">
        <x:v>H03</x:v>
      </x:c>
      <x:c r="E1010" t="n">
        <x:v>2</x:v>
      </x:c>
      <x:c r="F1010" t="n">
        <x:v>2</x:v>
      </x:c>
      <x:c r="G1010" t="n">
        <x:f>F1010-E1010</x:f>
        <x:v>0</x:v>
      </x:c>
      <x:c r="H1010" s="2" t="n">
        <x:f>IFERROR(E1010/F1010,0)</x:f>
        <x:v>1</x:v>
      </x:c>
      <x:c r="I1010" t="str">
        <x:v>Adequado</x:v>
      </x:c>
      <x:c r="J1010" t="str">
        <x:v>CAEd_DadosExportados (1).zip</x:v>
      </x:c>
    </x:row>
    <x:row r="1011">
      <x:c r="A1011" t="str">
        <x:v>2A027</x:v>
      </x:c>
      <x:c r="B1011" t="str">
        <x:v>2º ano</x:v>
      </x:c>
      <x:c r="C1011" t="str">
        <x:v>referencia</x:v>
      </x:c>
      <x:c r="D1011" t="str">
        <x:v>H04</x:v>
      </x:c>
      <x:c r="E1011" t="n">
        <x:v>2</x:v>
      </x:c>
      <x:c r="F1011" t="n">
        <x:v>2</x:v>
      </x:c>
      <x:c r="G1011" t="n">
        <x:f>F1011-E1011</x:f>
        <x:v>0</x:v>
      </x:c>
      <x:c r="H1011" s="2" t="n">
        <x:f>IFERROR(E1011/F1011,0)</x:f>
        <x:v>1</x:v>
      </x:c>
      <x:c r="I1011" t="str">
        <x:v>Adequado</x:v>
      </x:c>
      <x:c r="J1011" t="str">
        <x:v>CAEd_DadosExportados (1).zip</x:v>
      </x:c>
    </x:row>
    <x:row r="1012">
      <x:c r="A1012" t="str">
        <x:v>2A027</x:v>
      </x:c>
      <x:c r="B1012" t="str">
        <x:v>2º ano</x:v>
      </x:c>
      <x:c r="C1012" t="str">
        <x:v>referencia</x:v>
      </x:c>
      <x:c r="D1012" t="str">
        <x:v>H05</x:v>
      </x:c>
      <x:c r="E1012" t="n">
        <x:v>1</x:v>
      </x:c>
      <x:c r="F1012" t="n">
        <x:v>1</x:v>
      </x:c>
      <x:c r="G1012" t="n">
        <x:f>F1012-E1012</x:f>
        <x:v>0</x:v>
      </x:c>
      <x:c r="H1012" s="2" t="n">
        <x:f>IFERROR(E1012/F1012,0)</x:f>
        <x:v>1</x:v>
      </x:c>
      <x:c r="I1012" t="str">
        <x:v>Adequado</x:v>
      </x:c>
      <x:c r="J1012" t="str">
        <x:v>CAEd_DadosExportados (1).zip</x:v>
      </x:c>
    </x:row>
    <x:row r="1013">
      <x:c r="A1013" t="str">
        <x:v>2A027</x:v>
      </x:c>
      <x:c r="B1013" t="str">
        <x:v>2º ano</x:v>
      </x:c>
      <x:c r="C1013" t="str">
        <x:v>referencia</x:v>
      </x:c>
      <x:c r="D1013" t="str">
        <x:v>H06</x:v>
      </x:c>
      <x:c r="E1013" t="n">
        <x:v>1</x:v>
      </x:c>
      <x:c r="F1013" t="n">
        <x:v>2</x:v>
      </x:c>
      <x:c r="G1013" t="n">
        <x:f>F1013-E1013</x:f>
        <x:v>1</x:v>
      </x:c>
      <x:c r="H1013" s="2" t="n">
        <x:f>IFERROR(E1013/F1013,0)</x:f>
        <x:v>0.5</x:v>
      </x:c>
      <x:c r="I1013" t="str">
        <x:v>Adequado</x:v>
      </x:c>
      <x:c r="J1013" t="str">
        <x:v>CAEd_DadosExportados (1).zip</x:v>
      </x:c>
    </x:row>
    <x:row r="1014">
      <x:c r="A1014" t="str">
        <x:v>2A027</x:v>
      </x:c>
      <x:c r="B1014" t="str">
        <x:v>2º ano</x:v>
      </x:c>
      <x:c r="C1014" t="str">
        <x:v>referencia</x:v>
      </x:c>
      <x:c r="D1014" t="str">
        <x:v>H07</x:v>
      </x:c>
      <x:c r="E1014" t="n">
        <x:v>2</x:v>
      </x:c>
      <x:c r="F1014" t="n">
        <x:v>2</x:v>
      </x:c>
      <x:c r="G1014" t="n">
        <x:f>F1014-E1014</x:f>
        <x:v>0</x:v>
      </x:c>
      <x:c r="H1014" s="2" t="n">
        <x:f>IFERROR(E1014/F1014,0)</x:f>
        <x:v>1</x:v>
      </x:c>
      <x:c r="I1014" t="str">
        <x:v>Adequado</x:v>
      </x:c>
      <x:c r="J1014" t="str">
        <x:v>CAEd_DadosExportados (1).zip</x:v>
      </x:c>
    </x:row>
    <x:row r="1015">
      <x:c r="A1015" t="str">
        <x:v>2A027</x:v>
      </x:c>
      <x:c r="B1015" t="str">
        <x:v>2º ano</x:v>
      </x:c>
      <x:c r="C1015" t="str">
        <x:v>referencia</x:v>
      </x:c>
      <x:c r="D1015" t="str">
        <x:v>H08</x:v>
      </x:c>
      <x:c r="E1015" t="n">
        <x:v>2</x:v>
      </x:c>
      <x:c r="F1015" t="n">
        <x:v>2</x:v>
      </x:c>
      <x:c r="G1015" t="n">
        <x:f>F1015-E1015</x:f>
        <x:v>0</x:v>
      </x:c>
      <x:c r="H1015" s="2" t="n">
        <x:f>IFERROR(E1015/F1015,0)</x:f>
        <x:v>1</x:v>
      </x:c>
      <x:c r="I1015" t="str">
        <x:v>Adequado</x:v>
      </x:c>
      <x:c r="J1015" t="str">
        <x:v>CAEd_DadosExportados (1).zip</x:v>
      </x:c>
    </x:row>
    <x:row r="1016">
      <x:c r="A1016" t="str">
        <x:v>2A027</x:v>
      </x:c>
      <x:c r="B1016" t="str">
        <x:v>2º ano</x:v>
      </x:c>
      <x:c r="C1016" t="str">
        <x:v>referencia</x:v>
      </x:c>
      <x:c r="D1016" t="str">
        <x:v>H09</x:v>
      </x:c>
      <x:c r="E1016" t="n">
        <x:v>2</x:v>
      </x:c>
      <x:c r="F1016" t="n">
        <x:v>2</x:v>
      </x:c>
      <x:c r="G1016" t="n">
        <x:f>F1016-E1016</x:f>
        <x:v>0</x:v>
      </x:c>
      <x:c r="H1016" s="2" t="n">
        <x:f>IFERROR(E1016/F1016,0)</x:f>
        <x:v>1</x:v>
      </x:c>
      <x:c r="I1016" t="str">
        <x:v>Adequado</x:v>
      </x:c>
      <x:c r="J1016" t="str">
        <x:v>CAEd_DadosExportados (1).zip</x:v>
      </x:c>
    </x:row>
    <x:row r="1017">
      <x:c r="A1017" t="str">
        <x:v>2A027</x:v>
      </x:c>
      <x:c r="B1017" t="str">
        <x:v>2º ano</x:v>
      </x:c>
      <x:c r="C1017" t="str">
        <x:v>referencia</x:v>
      </x:c>
      <x:c r="D1017" t="str">
        <x:v>H10</x:v>
      </x:c>
      <x:c r="E1017" t="n">
        <x:v>1</x:v>
      </x:c>
      <x:c r="F1017" t="n">
        <x:v>1</x:v>
      </x:c>
      <x:c r="G1017" t="n">
        <x:f>F1017-E1017</x:f>
        <x:v>0</x:v>
      </x:c>
      <x:c r="H1017" s="2" t="n">
        <x:f>IFERROR(E1017/F1017,0)</x:f>
        <x:v>1</x:v>
      </x:c>
      <x:c r="I1017" t="str">
        <x:v>Adequado</x:v>
      </x:c>
      <x:c r="J1017" t="str">
        <x:v>CAEd_DadosExportados (1).zip</x:v>
      </x:c>
    </x:row>
    <x:row r="1018">
      <x:c r="A1018" t="str">
        <x:v>2A027</x:v>
      </x:c>
      <x:c r="B1018" t="str">
        <x:v>2º ano</x:v>
      </x:c>
      <x:c r="C1018" t="str">
        <x:v>referencia</x:v>
      </x:c>
      <x:c r="D1018" t="str">
        <x:v>H11</x:v>
      </x:c>
      <x:c r="E1018" t="n">
        <x:v>1</x:v>
      </x:c>
      <x:c r="F1018" t="n">
        <x:v>2</x:v>
      </x:c>
      <x:c r="G1018" t="n">
        <x:f>F1018-E1018</x:f>
        <x:v>1</x:v>
      </x:c>
      <x:c r="H1018" s="2" t="n">
        <x:f>IFERROR(E1018/F1018,0)</x:f>
        <x:v>0.5</x:v>
      </x:c>
      <x:c r="I1018" t="str">
        <x:v>Adequado</x:v>
      </x:c>
      <x:c r="J1018" t="str">
        <x:v>CAEd_DadosExportados (1).zip</x:v>
      </x:c>
    </x:row>
    <x:row r="1019">
      <x:c r="A1019" t="str">
        <x:v>2A027</x:v>
      </x:c>
      <x:c r="B1019" t="str">
        <x:v>2º ano</x:v>
      </x:c>
      <x:c r="C1019" t="str">
        <x:v>referencia</x:v>
      </x:c>
      <x:c r="D1019" t="str">
        <x:v>H12</x:v>
      </x:c>
      <x:c r="E1019" t="n">
        <x:v>1</x:v>
      </x:c>
      <x:c r="F1019" t="n">
        <x:v>1</x:v>
      </x:c>
      <x:c r="G1019" t="n">
        <x:f>F1019-E1019</x:f>
        <x:v>0</x:v>
      </x:c>
      <x:c r="H1019" s="2" t="n">
        <x:f>IFERROR(E1019/F1019,0)</x:f>
        <x:v>1</x:v>
      </x:c>
      <x:c r="I1019" t="str">
        <x:v>Adequado</x:v>
      </x:c>
      <x:c r="J1019" t="str">
        <x:v>CAEd_DadosExportados (1).zip</x:v>
      </x:c>
    </x:row>
    <x:row r="1020">
      <x:c r="A1020" t="str">
        <x:v>2A027</x:v>
      </x:c>
      <x:c r="B1020" t="str">
        <x:v>2º ano</x:v>
      </x:c>
      <x:c r="C1020" t="str">
        <x:v>referencia</x:v>
      </x:c>
      <x:c r="D1020" t="str">
        <x:v>H13</x:v>
      </x:c>
      <x:c r="E1020" t="n">
        <x:v>0</x:v>
      </x:c>
      <x:c r="F1020" t="n">
        <x:v>1</x:v>
      </x:c>
      <x:c r="G1020" t="n">
        <x:f>F1020-E1020</x:f>
        <x:v>1</x:v>
      </x:c>
      <x:c r="H1020" s="2" t="n">
        <x:f>IFERROR(E1020/F1020,0)</x:f>
        <x:v>0</x:v>
      </x:c>
      <x:c r="I1020" t="str">
        <x:v>Adequado</x:v>
      </x:c>
      <x:c r="J1020" t="str">
        <x:v>CAEd_DadosExportados (1).zip</x:v>
      </x:c>
    </x:row>
    <x:row r="1021">
      <x:c r="A1021" t="str">
        <x:v>2A028</x:v>
      </x:c>
      <x:c r="B1021" t="str">
        <x:v>2º ano</x:v>
      </x:c>
      <x:c r="C1021" t="str">
        <x:v>contraprova</x:v>
      </x:c>
      <x:c r="D1021" t="str">
        <x:v>H01</x:v>
      </x:c>
      <x:c r="E1021" t="n">
        <x:v>0</x:v>
      </x:c>
      <x:c r="F1021" t="n">
        <x:v>2</x:v>
      </x:c>
      <x:c r="G1021" t="n">
        <x:f>F1021-E1021</x:f>
        <x:v>2</x:v>
      </x:c>
      <x:c r="H1021" s="2" t="n">
        <x:f>IFERROR(E1021/F1021,0)</x:f>
        <x:v>0</x:v>
      </x:c>
      <x:c r="I1021" t="str">
        <x:v>Adequado</x:v>
      </x:c>
      <x:c r="J1021" t="str">
        <x:v>CAEd_DadosExportados (2).zip</x:v>
      </x:c>
    </x:row>
    <x:row r="1022">
      <x:c r="A1022" t="str">
        <x:v>2A028</x:v>
      </x:c>
      <x:c r="B1022" t="str">
        <x:v>2º ano</x:v>
      </x:c>
      <x:c r="C1022" t="str">
        <x:v>contraprova</x:v>
      </x:c>
      <x:c r="D1022" t="str">
        <x:v>H02</x:v>
      </x:c>
      <x:c r="E1022" t="n">
        <x:v>1</x:v>
      </x:c>
      <x:c r="F1022" t="n">
        <x:v>2</x:v>
      </x:c>
      <x:c r="G1022" t="n">
        <x:f>F1022-E1022</x:f>
        <x:v>1</x:v>
      </x:c>
      <x:c r="H1022" s="2" t="n">
        <x:f>IFERROR(E1022/F1022,0)</x:f>
        <x:v>0.5</x:v>
      </x:c>
      <x:c r="I1022" t="str">
        <x:v>Adequado</x:v>
      </x:c>
      <x:c r="J1022" t="str">
        <x:v>CAEd_DadosExportados (2).zip</x:v>
      </x:c>
    </x:row>
    <x:row r="1023">
      <x:c r="A1023" t="str">
        <x:v>2A028</x:v>
      </x:c>
      <x:c r="B1023" t="str">
        <x:v>2º ano</x:v>
      </x:c>
      <x:c r="C1023" t="str">
        <x:v>contraprova</x:v>
      </x:c>
      <x:c r="D1023" t="str">
        <x:v>H03</x:v>
      </x:c>
      <x:c r="E1023" t="n">
        <x:v>2</x:v>
      </x:c>
      <x:c r="F1023" t="n">
        <x:v>2</x:v>
      </x:c>
      <x:c r="G1023" t="n">
        <x:f>F1023-E1023</x:f>
        <x:v>0</x:v>
      </x:c>
      <x:c r="H1023" s="2" t="n">
        <x:f>IFERROR(E1023/F1023,0)</x:f>
        <x:v>1</x:v>
      </x:c>
      <x:c r="I1023" t="str">
        <x:v>Adequado</x:v>
      </x:c>
      <x:c r="J1023" t="str">
        <x:v>CAEd_DadosExportados (2).zip</x:v>
      </x:c>
    </x:row>
    <x:row r="1024">
      <x:c r="A1024" t="str">
        <x:v>2A028</x:v>
      </x:c>
      <x:c r="B1024" t="str">
        <x:v>2º ano</x:v>
      </x:c>
      <x:c r="C1024" t="str">
        <x:v>contraprova</x:v>
      </x:c>
      <x:c r="D1024" t="str">
        <x:v>H04</x:v>
      </x:c>
      <x:c r="E1024" t="n">
        <x:v>1</x:v>
      </x:c>
      <x:c r="F1024" t="n">
        <x:v>2</x:v>
      </x:c>
      <x:c r="G1024" t="n">
        <x:f>F1024-E1024</x:f>
        <x:v>1</x:v>
      </x:c>
      <x:c r="H1024" s="2" t="n">
        <x:f>IFERROR(E1024/F1024,0)</x:f>
        <x:v>0.5</x:v>
      </x:c>
      <x:c r="I1024" t="str">
        <x:v>Adequado</x:v>
      </x:c>
      <x:c r="J1024" t="str">
        <x:v>CAEd_DadosExportados (2).zip</x:v>
      </x:c>
    </x:row>
    <x:row r="1025">
      <x:c r="A1025" t="str">
        <x:v>2A028</x:v>
      </x:c>
      <x:c r="B1025" t="str">
        <x:v>2º ano</x:v>
      </x:c>
      <x:c r="C1025" t="str">
        <x:v>contraprova</x:v>
      </x:c>
      <x:c r="D1025" t="str">
        <x:v>H05</x:v>
      </x:c>
      <x:c r="E1025" t="n">
        <x:v>2</x:v>
      </x:c>
      <x:c r="F1025" t="n">
        <x:v>2</x:v>
      </x:c>
      <x:c r="G1025" t="n">
        <x:f>F1025-E1025</x:f>
        <x:v>0</x:v>
      </x:c>
      <x:c r="H1025" s="2" t="n">
        <x:f>IFERROR(E1025/F1025,0)</x:f>
        <x:v>1</x:v>
      </x:c>
      <x:c r="I1025" t="str">
        <x:v>Adequado</x:v>
      </x:c>
      <x:c r="J1025" t="str">
        <x:v>CAEd_DadosExportados (2).zip</x:v>
      </x:c>
    </x:row>
    <x:row r="1026">
      <x:c r="A1026" t="str">
        <x:v>2A028</x:v>
      </x:c>
      <x:c r="B1026" t="str">
        <x:v>2º ano</x:v>
      </x:c>
      <x:c r="C1026" t="str">
        <x:v>contraprova</x:v>
      </x:c>
      <x:c r="D1026" t="str">
        <x:v>H06</x:v>
      </x:c>
      <x:c r="E1026" t="n">
        <x:v>2</x:v>
      </x:c>
      <x:c r="F1026" t="n">
        <x:v>2</x:v>
      </x:c>
      <x:c r="G1026" t="n">
        <x:f>F1026-E1026</x:f>
        <x:v>0</x:v>
      </x:c>
      <x:c r="H1026" s="2" t="n">
        <x:f>IFERROR(E1026/F1026,0)</x:f>
        <x:v>1</x:v>
      </x:c>
      <x:c r="I1026" t="str">
        <x:v>Adequado</x:v>
      </x:c>
      <x:c r="J1026" t="str">
        <x:v>CAEd_DadosExportados (2).zip</x:v>
      </x:c>
    </x:row>
    <x:row r="1027">
      <x:c r="A1027" t="str">
        <x:v>2A028</x:v>
      </x:c>
      <x:c r="B1027" t="str">
        <x:v>2º ano</x:v>
      </x:c>
      <x:c r="C1027" t="str">
        <x:v>contraprova</x:v>
      </x:c>
      <x:c r="D1027" t="str">
        <x:v>H07</x:v>
      </x:c>
      <x:c r="E1027" t="n">
        <x:v>2</x:v>
      </x:c>
      <x:c r="F1027" t="n">
        <x:v>2</x:v>
      </x:c>
      <x:c r="G1027" t="n">
        <x:f>F1027-E1027</x:f>
        <x:v>0</x:v>
      </x:c>
      <x:c r="H1027" s="2" t="n">
        <x:f>IFERROR(E1027/F1027,0)</x:f>
        <x:v>1</x:v>
      </x:c>
      <x:c r="I1027" t="str">
        <x:v>Adequado</x:v>
      </x:c>
      <x:c r="J1027" t="str">
        <x:v>CAEd_DadosExportados (2).zip</x:v>
      </x:c>
    </x:row>
    <x:row r="1028">
      <x:c r="A1028" t="str">
        <x:v>2A028</x:v>
      </x:c>
      <x:c r="B1028" t="str">
        <x:v>2º ano</x:v>
      </x:c>
      <x:c r="C1028" t="str">
        <x:v>contraprova</x:v>
      </x:c>
      <x:c r="D1028" t="str">
        <x:v>H08</x:v>
      </x:c>
      <x:c r="E1028" t="n">
        <x:v>2</x:v>
      </x:c>
      <x:c r="F1028" t="n">
        <x:v>2</x:v>
      </x:c>
      <x:c r="G1028" t="n">
        <x:f>F1028-E1028</x:f>
        <x:v>0</x:v>
      </x:c>
      <x:c r="H1028" s="2" t="n">
        <x:f>IFERROR(E1028/F1028,0)</x:f>
        <x:v>1</x:v>
      </x:c>
      <x:c r="I1028" t="str">
        <x:v>Adequado</x:v>
      </x:c>
      <x:c r="J1028" t="str">
        <x:v>CAEd_DadosExportados (2).zip</x:v>
      </x:c>
    </x:row>
    <x:row r="1029">
      <x:c r="A1029" t="str">
        <x:v>2A028</x:v>
      </x:c>
      <x:c r="B1029" t="str">
        <x:v>2º ano</x:v>
      </x:c>
      <x:c r="C1029" t="str">
        <x:v>contraprova</x:v>
      </x:c>
      <x:c r="D1029" t="str">
        <x:v>H09</x:v>
      </x:c>
      <x:c r="E1029" t="n">
        <x:v>2</x:v>
      </x:c>
      <x:c r="F1029" t="n">
        <x:v>2</x:v>
      </x:c>
      <x:c r="G1029" t="n">
        <x:f>F1029-E1029</x:f>
        <x:v>0</x:v>
      </x:c>
      <x:c r="H1029" s="2" t="n">
        <x:f>IFERROR(E1029/F1029,0)</x:f>
        <x:v>1</x:v>
      </x:c>
      <x:c r="I1029" t="str">
        <x:v>Adequado</x:v>
      </x:c>
      <x:c r="J1029" t="str">
        <x:v>CAEd_DadosExportados (2).zip</x:v>
      </x:c>
    </x:row>
    <x:row r="1030">
      <x:c r="A1030" t="str">
        <x:v>2A028</x:v>
      </x:c>
      <x:c r="B1030" t="str">
        <x:v>2º ano</x:v>
      </x:c>
      <x:c r="C1030" t="str">
        <x:v>contraprova</x:v>
      </x:c>
      <x:c r="D1030" t="str">
        <x:v>H10</x:v>
      </x:c>
      <x:c r="E1030" t="n">
        <x:v>2</x:v>
      </x:c>
      <x:c r="F1030" t="n">
        <x:v>2</x:v>
      </x:c>
      <x:c r="G1030" t="n">
        <x:f>F1030-E1030</x:f>
        <x:v>0</x:v>
      </x:c>
      <x:c r="H1030" s="2" t="n">
        <x:f>IFERROR(E1030/F1030,0)</x:f>
        <x:v>1</x:v>
      </x:c>
      <x:c r="I1030" t="str">
        <x:v>Adequado</x:v>
      </x:c>
      <x:c r="J1030" t="str">
        <x:v>CAEd_DadosExportados (2).zip</x:v>
      </x:c>
    </x:row>
    <x:row r="1031">
      <x:c r="A1031" t="str">
        <x:v>2A028</x:v>
      </x:c>
      <x:c r="B1031" t="str">
        <x:v>2º ano</x:v>
      </x:c>
      <x:c r="C1031" t="str">
        <x:v>contraprova</x:v>
      </x:c>
      <x:c r="D1031" t="str">
        <x:v>H11</x:v>
      </x:c>
      <x:c r="E1031" t="n">
        <x:v>2</x:v>
      </x:c>
      <x:c r="F1031" t="n">
        <x:v>2</x:v>
      </x:c>
      <x:c r="G1031" t="n">
        <x:f>F1031-E1031</x:f>
        <x:v>0</x:v>
      </x:c>
      <x:c r="H1031" s="2" t="n">
        <x:f>IFERROR(E1031/F1031,0)</x:f>
        <x:v>1</x:v>
      </x:c>
      <x:c r="I1031" t="str">
        <x:v>Adequado</x:v>
      </x:c>
      <x:c r="J1031" t="str">
        <x:v>CAEd_DadosExportados (2).zip</x:v>
      </x:c>
    </x:row>
    <x:row r="1032">
      <x:c r="A1032" t="str">
        <x:v>2A028</x:v>
      </x:c>
      <x:c r="B1032" t="str">
        <x:v>2º ano</x:v>
      </x:c>
      <x:c r="C1032" t="str">
        <x:v>referencia</x:v>
      </x:c>
      <x:c r="D1032" t="str">
        <x:v>H01</x:v>
      </x:c>
      <x:c r="E1032" t="n">
        <x:v>2</x:v>
      </x:c>
      <x:c r="F1032" t="n">
        <x:v>2</x:v>
      </x:c>
      <x:c r="G1032" t="n">
        <x:f>F1032-E1032</x:f>
        <x:v>0</x:v>
      </x:c>
      <x:c r="H1032" s="2" t="n">
        <x:f>IFERROR(E1032/F1032,0)</x:f>
        <x:v>1</x:v>
      </x:c>
      <x:c r="I1032" t="str">
        <x:v>Adequado</x:v>
      </x:c>
      <x:c r="J1032" t="str">
        <x:v>CAEd_DadosExportados (1).zip</x:v>
      </x:c>
    </x:row>
    <x:row r="1033">
      <x:c r="A1033" t="str">
        <x:v>2A028</x:v>
      </x:c>
      <x:c r="B1033" t="str">
        <x:v>2º ano</x:v>
      </x:c>
      <x:c r="C1033" t="str">
        <x:v>referencia</x:v>
      </x:c>
      <x:c r="D1033" t="str">
        <x:v>H02</x:v>
      </x:c>
      <x:c r="E1033" t="n">
        <x:v>2</x:v>
      </x:c>
      <x:c r="F1033" t="n">
        <x:v>2</x:v>
      </x:c>
      <x:c r="G1033" t="n">
        <x:f>F1033-E1033</x:f>
        <x:v>0</x:v>
      </x:c>
      <x:c r="H1033" s="2" t="n">
        <x:f>IFERROR(E1033/F1033,0)</x:f>
        <x:v>1</x:v>
      </x:c>
      <x:c r="I1033" t="str">
        <x:v>Adequado</x:v>
      </x:c>
      <x:c r="J1033" t="str">
        <x:v>CAEd_DadosExportados (1).zip</x:v>
      </x:c>
    </x:row>
    <x:row r="1034">
      <x:c r="A1034" t="str">
        <x:v>2A028</x:v>
      </x:c>
      <x:c r="B1034" t="str">
        <x:v>2º ano</x:v>
      </x:c>
      <x:c r="C1034" t="str">
        <x:v>referencia</x:v>
      </x:c>
      <x:c r="D1034" t="str">
        <x:v>H03</x:v>
      </x:c>
      <x:c r="E1034" t="n">
        <x:v>2</x:v>
      </x:c>
      <x:c r="F1034" t="n">
        <x:v>2</x:v>
      </x:c>
      <x:c r="G1034" t="n">
        <x:f>F1034-E1034</x:f>
        <x:v>0</x:v>
      </x:c>
      <x:c r="H1034" s="2" t="n">
        <x:f>IFERROR(E1034/F1034,0)</x:f>
        <x:v>1</x:v>
      </x:c>
      <x:c r="I1034" t="str">
        <x:v>Adequado</x:v>
      </x:c>
      <x:c r="J1034" t="str">
        <x:v>CAEd_DadosExportados (1).zip</x:v>
      </x:c>
    </x:row>
    <x:row r="1035">
      <x:c r="A1035" t="str">
        <x:v>2A028</x:v>
      </x:c>
      <x:c r="B1035" t="str">
        <x:v>2º ano</x:v>
      </x:c>
      <x:c r="C1035" t="str">
        <x:v>referencia</x:v>
      </x:c>
      <x:c r="D1035" t="str">
        <x:v>H04</x:v>
      </x:c>
      <x:c r="E1035" t="n">
        <x:v>2</x:v>
      </x:c>
      <x:c r="F1035" t="n">
        <x:v>2</x:v>
      </x:c>
      <x:c r="G1035" t="n">
        <x:f>F1035-E1035</x:f>
        <x:v>0</x:v>
      </x:c>
      <x:c r="H1035" s="2" t="n">
        <x:f>IFERROR(E1035/F1035,0)</x:f>
        <x:v>1</x:v>
      </x:c>
      <x:c r="I1035" t="str">
        <x:v>Adequado</x:v>
      </x:c>
      <x:c r="J1035" t="str">
        <x:v>CAEd_DadosExportados (1).zip</x:v>
      </x:c>
    </x:row>
    <x:row r="1036">
      <x:c r="A1036" t="str">
        <x:v>2A028</x:v>
      </x:c>
      <x:c r="B1036" t="str">
        <x:v>2º ano</x:v>
      </x:c>
      <x:c r="C1036" t="str">
        <x:v>referencia</x:v>
      </x:c>
      <x:c r="D1036" t="str">
        <x:v>H05</x:v>
      </x:c>
      <x:c r="E1036" t="n">
        <x:v>1</x:v>
      </x:c>
      <x:c r="F1036" t="n">
        <x:v>1</x:v>
      </x:c>
      <x:c r="G1036" t="n">
        <x:f>F1036-E1036</x:f>
        <x:v>0</x:v>
      </x:c>
      <x:c r="H1036" s="2" t="n">
        <x:f>IFERROR(E1036/F1036,0)</x:f>
        <x:v>1</x:v>
      </x:c>
      <x:c r="I1036" t="str">
        <x:v>Adequado</x:v>
      </x:c>
      <x:c r="J1036" t="str">
        <x:v>CAEd_DadosExportados (1).zip</x:v>
      </x:c>
    </x:row>
    <x:row r="1037">
      <x:c r="A1037" t="str">
        <x:v>2A028</x:v>
      </x:c>
      <x:c r="B1037" t="str">
        <x:v>2º ano</x:v>
      </x:c>
      <x:c r="C1037" t="str">
        <x:v>referencia</x:v>
      </x:c>
      <x:c r="D1037" t="str">
        <x:v>H06</x:v>
      </x:c>
      <x:c r="E1037" t="n">
        <x:v>1</x:v>
      </x:c>
      <x:c r="F1037" t="n">
        <x:v>2</x:v>
      </x:c>
      <x:c r="G1037" t="n">
        <x:f>F1037-E1037</x:f>
        <x:v>1</x:v>
      </x:c>
      <x:c r="H1037" s="2" t="n">
        <x:f>IFERROR(E1037/F1037,0)</x:f>
        <x:v>0.5</x:v>
      </x:c>
      <x:c r="I1037" t="str">
        <x:v>Adequado</x:v>
      </x:c>
      <x:c r="J1037" t="str">
        <x:v>CAEd_DadosExportados (1).zip</x:v>
      </x:c>
    </x:row>
    <x:row r="1038">
      <x:c r="A1038" t="str">
        <x:v>2A028</x:v>
      </x:c>
      <x:c r="B1038" t="str">
        <x:v>2º ano</x:v>
      </x:c>
      <x:c r="C1038" t="str">
        <x:v>referencia</x:v>
      </x:c>
      <x:c r="D1038" t="str">
        <x:v>H07</x:v>
      </x:c>
      <x:c r="E1038" t="n">
        <x:v>1</x:v>
      </x:c>
      <x:c r="F1038" t="n">
        <x:v>2</x:v>
      </x:c>
      <x:c r="G1038" t="n">
        <x:f>F1038-E1038</x:f>
        <x:v>1</x:v>
      </x:c>
      <x:c r="H1038" s="2" t="n">
        <x:f>IFERROR(E1038/F1038,0)</x:f>
        <x:v>0.5</x:v>
      </x:c>
      <x:c r="I1038" t="str">
        <x:v>Adequado</x:v>
      </x:c>
      <x:c r="J1038" t="str">
        <x:v>CAEd_DadosExportados (1).zip</x:v>
      </x:c>
    </x:row>
    <x:row r="1039">
      <x:c r="A1039" t="str">
        <x:v>2A028</x:v>
      </x:c>
      <x:c r="B1039" t="str">
        <x:v>2º ano</x:v>
      </x:c>
      <x:c r="C1039" t="str">
        <x:v>referencia</x:v>
      </x:c>
      <x:c r="D1039" t="str">
        <x:v>H08</x:v>
      </x:c>
      <x:c r="E1039" t="n">
        <x:v>2</x:v>
      </x:c>
      <x:c r="F1039" t="n">
        <x:v>2</x:v>
      </x:c>
      <x:c r="G1039" t="n">
        <x:f>F1039-E1039</x:f>
        <x:v>0</x:v>
      </x:c>
      <x:c r="H1039" s="2" t="n">
        <x:f>IFERROR(E1039/F1039,0)</x:f>
        <x:v>1</x:v>
      </x:c>
      <x:c r="I1039" t="str">
        <x:v>Adequado</x:v>
      </x:c>
      <x:c r="J1039" t="str">
        <x:v>CAEd_DadosExportados (1).zip</x:v>
      </x:c>
    </x:row>
    <x:row r="1040">
      <x:c r="A1040" t="str">
        <x:v>2A028</x:v>
      </x:c>
      <x:c r="B1040" t="str">
        <x:v>2º ano</x:v>
      </x:c>
      <x:c r="C1040" t="str">
        <x:v>referencia</x:v>
      </x:c>
      <x:c r="D1040" t="str">
        <x:v>H09</x:v>
      </x:c>
      <x:c r="E1040" t="n">
        <x:v>2</x:v>
      </x:c>
      <x:c r="F1040" t="n">
        <x:v>2</x:v>
      </x:c>
      <x:c r="G1040" t="n">
        <x:f>F1040-E1040</x:f>
        <x:v>0</x:v>
      </x:c>
      <x:c r="H1040" s="2" t="n">
        <x:f>IFERROR(E1040/F1040,0)</x:f>
        <x:v>1</x:v>
      </x:c>
      <x:c r="I1040" t="str">
        <x:v>Adequado</x:v>
      </x:c>
      <x:c r="J1040" t="str">
        <x:v>CAEd_DadosExportados (1).zip</x:v>
      </x:c>
    </x:row>
    <x:row r="1041">
      <x:c r="A1041" t="str">
        <x:v>2A028</x:v>
      </x:c>
      <x:c r="B1041" t="str">
        <x:v>2º ano</x:v>
      </x:c>
      <x:c r="C1041" t="str">
        <x:v>referencia</x:v>
      </x:c>
      <x:c r="D1041" t="str">
        <x:v>H10</x:v>
      </x:c>
      <x:c r="E1041" t="n">
        <x:v>1</x:v>
      </x:c>
      <x:c r="F1041" t="n">
        <x:v>1</x:v>
      </x:c>
      <x:c r="G1041" t="n">
        <x:f>F1041-E1041</x:f>
        <x:v>0</x:v>
      </x:c>
      <x:c r="H1041" s="2" t="n">
        <x:f>IFERROR(E1041/F1041,0)</x:f>
        <x:v>1</x:v>
      </x:c>
      <x:c r="I1041" t="str">
        <x:v>Adequado</x:v>
      </x:c>
      <x:c r="J1041" t="str">
        <x:v>CAEd_DadosExportados (1).zip</x:v>
      </x:c>
    </x:row>
    <x:row r="1042">
      <x:c r="A1042" t="str">
        <x:v>2A028</x:v>
      </x:c>
      <x:c r="B1042" t="str">
        <x:v>2º ano</x:v>
      </x:c>
      <x:c r="C1042" t="str">
        <x:v>referencia</x:v>
      </x:c>
      <x:c r="D1042" t="str">
        <x:v>H11</x:v>
      </x:c>
      <x:c r="E1042" t="n">
        <x:v>2</x:v>
      </x:c>
      <x:c r="F1042" t="n">
        <x:v>2</x:v>
      </x:c>
      <x:c r="G1042" t="n">
        <x:f>F1042-E1042</x:f>
        <x:v>0</x:v>
      </x:c>
      <x:c r="H1042" s="2" t="n">
        <x:f>IFERROR(E1042/F1042,0)</x:f>
        <x:v>1</x:v>
      </x:c>
      <x:c r="I1042" t="str">
        <x:v>Adequado</x:v>
      </x:c>
      <x:c r="J1042" t="str">
        <x:v>CAEd_DadosExportados (1).zip</x:v>
      </x:c>
    </x:row>
    <x:row r="1043">
      <x:c r="A1043" t="str">
        <x:v>2A028</x:v>
      </x:c>
      <x:c r="B1043" t="str">
        <x:v>2º ano</x:v>
      </x:c>
      <x:c r="C1043" t="str">
        <x:v>referencia</x:v>
      </x:c>
      <x:c r="D1043" t="str">
        <x:v>H12</x:v>
      </x:c>
      <x:c r="E1043" t="n">
        <x:v>1</x:v>
      </x:c>
      <x:c r="F1043" t="n">
        <x:v>1</x:v>
      </x:c>
      <x:c r="G1043" t="n">
        <x:f>F1043-E1043</x:f>
        <x:v>0</x:v>
      </x:c>
      <x:c r="H1043" s="2" t="n">
        <x:f>IFERROR(E1043/F1043,0)</x:f>
        <x:v>1</x:v>
      </x:c>
      <x:c r="I1043" t="str">
        <x:v>Adequado</x:v>
      </x:c>
      <x:c r="J1043" t="str">
        <x:v>CAEd_DadosExportados (1).zip</x:v>
      </x:c>
    </x:row>
    <x:row r="1044">
      <x:c r="A1044" t="str">
        <x:v>2A028</x:v>
      </x:c>
      <x:c r="B1044" t="str">
        <x:v>2º ano</x:v>
      </x:c>
      <x:c r="C1044" t="str">
        <x:v>referencia</x:v>
      </x:c>
      <x:c r="D1044" t="str">
        <x:v>H13</x:v>
      </x:c>
      <x:c r="E1044" t="n">
        <x:v>1</x:v>
      </x:c>
      <x:c r="F1044" t="n">
        <x:v>1</x:v>
      </x:c>
      <x:c r="G1044" t="n">
        <x:f>F1044-E1044</x:f>
        <x:v>0</x:v>
      </x:c>
      <x:c r="H1044" s="2" t="n">
        <x:f>IFERROR(E1044/F1044,0)</x:f>
        <x:v>1</x:v>
      </x:c>
      <x:c r="I1044" t="str">
        <x:v>Adequado</x:v>
      </x:c>
      <x:c r="J1044" t="str">
        <x:v>CAEd_DadosExportados (1).zip</x:v>
      </x:c>
    </x:row>
    <x:row r="1045">
      <x:c r="A1045" t="str">
        <x:v>2A029</x:v>
      </x:c>
      <x:c r="B1045" t="str">
        <x:v>2º ano</x:v>
      </x:c>
      <x:c r="C1045" t="str">
        <x:v>contraprova</x:v>
      </x:c>
      <x:c r="D1045" t="str">
        <x:v>H01</x:v>
      </x:c>
      <x:c r="E1045" t="n">
        <x:v>0</x:v>
      </x:c>
      <x:c r="F1045" t="n">
        <x:v>2</x:v>
      </x:c>
      <x:c r="G1045" t="n">
        <x:f>F1045-E1045</x:f>
        <x:v>2</x:v>
      </x:c>
      <x:c r="H1045" s="2" t="n">
        <x:f>IFERROR(E1045/F1045,0)</x:f>
        <x:v>0</x:v>
      </x:c>
      <x:c r="I1045" t="str">
        <x:v>Defasagem</x:v>
      </x:c>
      <x:c r="J1045" t="str">
        <x:v>CAEd_DadosExportados (2).zip</x:v>
      </x:c>
    </x:row>
    <x:row r="1046">
      <x:c r="A1046" t="str">
        <x:v>2A029</x:v>
      </x:c>
      <x:c r="B1046" t="str">
        <x:v>2º ano</x:v>
      </x:c>
      <x:c r="C1046" t="str">
        <x:v>contraprova</x:v>
      </x:c>
      <x:c r="D1046" t="str">
        <x:v>H02</x:v>
      </x:c>
      <x:c r="E1046" t="n">
        <x:v>0</x:v>
      </x:c>
      <x:c r="F1046" t="n">
        <x:v>2</x:v>
      </x:c>
      <x:c r="G1046" t="n">
        <x:f>F1046-E1046</x:f>
        <x:v>2</x:v>
      </x:c>
      <x:c r="H1046" s="2" t="n">
        <x:f>IFERROR(E1046/F1046,0)</x:f>
        <x:v>0</x:v>
      </x:c>
      <x:c r="I1046" t="str">
        <x:v>Defasagem</x:v>
      </x:c>
      <x:c r="J1046" t="str">
        <x:v>CAEd_DadosExportados (2).zip</x:v>
      </x:c>
    </x:row>
    <x:row r="1047">
      <x:c r="A1047" t="str">
        <x:v>2A029</x:v>
      </x:c>
      <x:c r="B1047" t="str">
        <x:v>2º ano</x:v>
      </x:c>
      <x:c r="C1047" t="str">
        <x:v>contraprova</x:v>
      </x:c>
      <x:c r="D1047" t="str">
        <x:v>H03</x:v>
      </x:c>
      <x:c r="E1047" t="n">
        <x:v>0</x:v>
      </x:c>
      <x:c r="F1047" t="n">
        <x:v>2</x:v>
      </x:c>
      <x:c r="G1047" t="n">
        <x:f>F1047-E1047</x:f>
        <x:v>2</x:v>
      </x:c>
      <x:c r="H1047" s="2" t="n">
        <x:f>IFERROR(E1047/F1047,0)</x:f>
        <x:v>0</x:v>
      </x:c>
      <x:c r="I1047" t="str">
        <x:v>Defasagem</x:v>
      </x:c>
      <x:c r="J1047" t="str">
        <x:v>CAEd_DadosExportados (2).zip</x:v>
      </x:c>
    </x:row>
    <x:row r="1048">
      <x:c r="A1048" t="str">
        <x:v>2A029</x:v>
      </x:c>
      <x:c r="B1048" t="str">
        <x:v>2º ano</x:v>
      </x:c>
      <x:c r="C1048" t="str">
        <x:v>contraprova</x:v>
      </x:c>
      <x:c r="D1048" t="str">
        <x:v>H04</x:v>
      </x:c>
      <x:c r="E1048" t="n">
        <x:v>0</x:v>
      </x:c>
      <x:c r="F1048" t="n">
        <x:v>2</x:v>
      </x:c>
      <x:c r="G1048" t="n">
        <x:f>F1048-E1048</x:f>
        <x:v>2</x:v>
      </x:c>
      <x:c r="H1048" s="2" t="n">
        <x:f>IFERROR(E1048/F1048,0)</x:f>
        <x:v>0</x:v>
      </x:c>
      <x:c r="I1048" t="str">
        <x:v>Defasagem</x:v>
      </x:c>
      <x:c r="J1048" t="str">
        <x:v>CAEd_DadosExportados (2).zip</x:v>
      </x:c>
    </x:row>
    <x:row r="1049">
      <x:c r="A1049" t="str">
        <x:v>2A029</x:v>
      </x:c>
      <x:c r="B1049" t="str">
        <x:v>2º ano</x:v>
      </x:c>
      <x:c r="C1049" t="str">
        <x:v>contraprova</x:v>
      </x:c>
      <x:c r="D1049" t="str">
        <x:v>H05</x:v>
      </x:c>
      <x:c r="E1049" t="n">
        <x:v>0</x:v>
      </x:c>
      <x:c r="F1049" t="n">
        <x:v>2</x:v>
      </x:c>
      <x:c r="G1049" t="n">
        <x:f>F1049-E1049</x:f>
        <x:v>2</x:v>
      </x:c>
      <x:c r="H1049" s="2" t="n">
        <x:f>IFERROR(E1049/F1049,0)</x:f>
        <x:v>0</x:v>
      </x:c>
      <x:c r="I1049" t="str">
        <x:v>Defasagem</x:v>
      </x:c>
      <x:c r="J1049" t="str">
        <x:v>CAEd_DadosExportados (2).zip</x:v>
      </x:c>
    </x:row>
    <x:row r="1050">
      <x:c r="A1050" t="str">
        <x:v>2A029</x:v>
      </x:c>
      <x:c r="B1050" t="str">
        <x:v>2º ano</x:v>
      </x:c>
      <x:c r="C1050" t="str">
        <x:v>contraprova</x:v>
      </x:c>
      <x:c r="D1050" t="str">
        <x:v>H06</x:v>
      </x:c>
      <x:c r="E1050" t="n">
        <x:v>0</x:v>
      </x:c>
      <x:c r="F1050" t="n">
        <x:v>2</x:v>
      </x:c>
      <x:c r="G1050" t="n">
        <x:f>F1050-E1050</x:f>
        <x:v>2</x:v>
      </x:c>
      <x:c r="H1050" s="2" t="n">
        <x:f>IFERROR(E1050/F1050,0)</x:f>
        <x:v>0</x:v>
      </x:c>
      <x:c r="I1050" t="str">
        <x:v>Defasagem</x:v>
      </x:c>
      <x:c r="J1050" t="str">
        <x:v>CAEd_DadosExportados (2).zip</x:v>
      </x:c>
    </x:row>
    <x:row r="1051">
      <x:c r="A1051" t="str">
        <x:v>2A029</x:v>
      </x:c>
      <x:c r="B1051" t="str">
        <x:v>2º ano</x:v>
      </x:c>
      <x:c r="C1051" t="str">
        <x:v>contraprova</x:v>
      </x:c>
      <x:c r="D1051" t="str">
        <x:v>H07</x:v>
      </x:c>
      <x:c r="E1051" t="n">
        <x:v>0</x:v>
      </x:c>
      <x:c r="F1051" t="n">
        <x:v>2</x:v>
      </x:c>
      <x:c r="G1051" t="n">
        <x:f>F1051-E1051</x:f>
        <x:v>2</x:v>
      </x:c>
      <x:c r="H1051" s="2" t="n">
        <x:f>IFERROR(E1051/F1051,0)</x:f>
        <x:v>0</x:v>
      </x:c>
      <x:c r="I1051" t="str">
        <x:v>Defasagem</x:v>
      </x:c>
      <x:c r="J1051" t="str">
        <x:v>CAEd_DadosExportados (2).zip</x:v>
      </x:c>
    </x:row>
    <x:row r="1052">
      <x:c r="A1052" t="str">
        <x:v>2A029</x:v>
      </x:c>
      <x:c r="B1052" t="str">
        <x:v>2º ano</x:v>
      </x:c>
      <x:c r="C1052" t="str">
        <x:v>contraprova</x:v>
      </x:c>
      <x:c r="D1052" t="str">
        <x:v>H08</x:v>
      </x:c>
      <x:c r="E1052" t="n">
        <x:v>0</x:v>
      </x:c>
      <x:c r="F1052" t="n">
        <x:v>2</x:v>
      </x:c>
      <x:c r="G1052" t="n">
        <x:f>F1052-E1052</x:f>
        <x:v>2</x:v>
      </x:c>
      <x:c r="H1052" s="2" t="n">
        <x:f>IFERROR(E1052/F1052,0)</x:f>
        <x:v>0</x:v>
      </x:c>
      <x:c r="I1052" t="str">
        <x:v>Defasagem</x:v>
      </x:c>
      <x:c r="J1052" t="str">
        <x:v>CAEd_DadosExportados (2).zip</x:v>
      </x:c>
    </x:row>
    <x:row r="1053">
      <x:c r="A1053" t="str">
        <x:v>2A029</x:v>
      </x:c>
      <x:c r="B1053" t="str">
        <x:v>2º ano</x:v>
      </x:c>
      <x:c r="C1053" t="str">
        <x:v>contraprova</x:v>
      </x:c>
      <x:c r="D1053" t="str">
        <x:v>H09</x:v>
      </x:c>
      <x:c r="E1053" t="n">
        <x:v>0</x:v>
      </x:c>
      <x:c r="F1053" t="n">
        <x:v>2</x:v>
      </x:c>
      <x:c r="G1053" t="n">
        <x:f>F1053-E1053</x:f>
        <x:v>2</x:v>
      </x:c>
      <x:c r="H1053" s="2" t="n">
        <x:f>IFERROR(E1053/F1053,0)</x:f>
        <x:v>0</x:v>
      </x:c>
      <x:c r="I1053" t="str">
        <x:v>Defasagem</x:v>
      </x:c>
      <x:c r="J1053" t="str">
        <x:v>CAEd_DadosExportados (2).zip</x:v>
      </x:c>
    </x:row>
    <x:row r="1054">
      <x:c r="A1054" t="str">
        <x:v>2A029</x:v>
      </x:c>
      <x:c r="B1054" t="str">
        <x:v>2º ano</x:v>
      </x:c>
      <x:c r="C1054" t="str">
        <x:v>contraprova</x:v>
      </x:c>
      <x:c r="D1054" t="str">
        <x:v>H10</x:v>
      </x:c>
      <x:c r="E1054" t="n">
        <x:v>0</x:v>
      </x:c>
      <x:c r="F1054" t="n">
        <x:v>2</x:v>
      </x:c>
      <x:c r="G1054" t="n">
        <x:f>F1054-E1054</x:f>
        <x:v>2</x:v>
      </x:c>
      <x:c r="H1054" s="2" t="n">
        <x:f>IFERROR(E1054/F1054,0)</x:f>
        <x:v>0</x:v>
      </x:c>
      <x:c r="I1054" t="str">
        <x:v>Defasagem</x:v>
      </x:c>
      <x:c r="J1054" t="str">
        <x:v>CAEd_DadosExportados (2).zip</x:v>
      </x:c>
    </x:row>
    <x:row r="1055">
      <x:c r="A1055" t="str">
        <x:v>2A029</x:v>
      </x:c>
      <x:c r="B1055" t="str">
        <x:v>2º ano</x:v>
      </x:c>
      <x:c r="C1055" t="str">
        <x:v>contraprova</x:v>
      </x:c>
      <x:c r="D1055" t="str">
        <x:v>H11</x:v>
      </x:c>
      <x:c r="E1055" t="n">
        <x:v>0</x:v>
      </x:c>
      <x:c r="F1055" t="n">
        <x:v>2</x:v>
      </x:c>
      <x:c r="G1055" t="n">
        <x:f>F1055-E1055</x:f>
        <x:v>2</x:v>
      </x:c>
      <x:c r="H1055" s="2" t="n">
        <x:f>IFERROR(E1055/F1055,0)</x:f>
        <x:v>0</x:v>
      </x:c>
      <x:c r="I1055" t="str">
        <x:v>Defasagem</x:v>
      </x:c>
      <x:c r="J1055" t="str">
        <x:v>CAEd_DadosExportados (2).zip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6" hidden="0" customWidth="1"/>
  </x:cols>
  <x:sheetData>
    <x:row r="1" ht="32" customHeight="1">
      <x:c r="A1" s="8" t="str">
        <x:v>ID</x:v>
      </x:c>
      <x:c r="B1" s="8" t="str">
        <x:v>Ano</x:v>
      </x:c>
      <x:c r="C1" s="8" t="str">
        <x:v>Acertos_ref</x:v>
      </x:c>
      <x:c r="D1" s="8" t="str">
        <x:v>Adequado_ref</x:v>
      </x:c>
      <x:c r="E1" s="8" t="str">
        <x:v>Acertos_contra</x:v>
      </x:c>
      <x:c r="F1" s="8" t="str">
        <x:v>Adequado_contra</x:v>
      </x:c>
      <x:c r="G1" s="8" t="str">
        <x:v>Delta_acertos</x:v>
      </x:c>
      <x:c r="H1" s="8" t="str">
        <x:v>Delta_adequado</x:v>
      </x:c>
      <x:c r="I1" s="8" t="str">
        <x:v>Nome (RESTRITO)</x:v>
      </x:c>
    </x:row>
    <x:row r="2">
      <x:c r="A2" t="str">
        <x:v>1A001</x:v>
      </x:c>
      <x:c r="B2" t="str">
        <x:v>1º ano</x:v>
      </x:c>
      <x:c r="C2" t="n">
        <x:f>Alunos_Restrito!AI2</x:f>
        <x:v>19</x:v>
      </x:c>
      <x:c r="D2" t="n">
        <x:f>Alunos_Restrito!AL2</x:f>
        <x:v>1</x:v>
      </x:c>
      <x:c r="E2" t="n">
        <x:f>Alunos_Restrito!AI3</x:f>
        <x:v>19</x:v>
      </x:c>
      <x:c r="F2" t="n">
        <x:f>Alunos_Restrito!AL3</x:f>
        <x:v>1</x:v>
      </x:c>
      <x:c r="G2" t="n">
        <x:f>E2-C2</x:f>
        <x:v>0</x:v>
      </x:c>
      <x:c r="H2" t="n">
        <x:f>F2-D2</x:f>
        <x:v>0</x:v>
      </x:c>
      <x:c r="I2" t="str">
        <x:v>ANTONIO CALLEBY PEREIRA LIMA</x:v>
      </x:c>
    </x:row>
    <x:row r="3">
      <x:c r="A3" t="str">
        <x:v>1A002</x:v>
      </x:c>
      <x:c r="B3" t="str">
        <x:v>1º ano</x:v>
      </x:c>
      <x:c r="C3" t="n">
        <x:f>Alunos_Restrito!AI4</x:f>
        <x:v>20</x:v>
      </x:c>
      <x:c r="D3" t="n">
        <x:f>Alunos_Restrito!AL4</x:f>
        <x:v>1</x:v>
      </x:c>
      <x:c r="E3" t="n">
        <x:f>Alunos_Restrito!AI5</x:f>
        <x:v>14</x:v>
      </x:c>
      <x:c r="F3" t="n">
        <x:f>Alunos_Restrito!AL5</x:f>
        <x:v>0</x:v>
      </x:c>
      <x:c r="G3" t="n">
        <x:f>E3-C3</x:f>
        <x:v>-6</x:v>
      </x:c>
      <x:c r="H3" t="n">
        <x:f>F3-D3</x:f>
        <x:v>-1</x:v>
      </x:c>
      <x:c r="I3" t="str">
        <x:v>DANIEL CONCEICAO PIMENTEL</x:v>
      </x:c>
    </x:row>
    <x:row r="4">
      <x:c r="A4" t="str">
        <x:v>1A003</x:v>
      </x:c>
      <x:c r="B4" t="str">
        <x:v>1º ano</x:v>
      </x:c>
      <x:c r="C4" t="n">
        <x:f>Alunos_Restrito!AI6</x:f>
        <x:v>19</x:v>
      </x:c>
      <x:c r="D4" t="n">
        <x:f>Alunos_Restrito!AL6</x:f>
        <x:v>1</x:v>
      </x:c>
      <x:c r="E4" t="n">
        <x:f>Alunos_Restrito!AI7</x:f>
        <x:v>20</x:v>
      </x:c>
      <x:c r="F4" t="n">
        <x:f>Alunos_Restrito!AL7</x:f>
        <x:v>1</x:v>
      </x:c>
      <x:c r="G4" t="n">
        <x:f>E4-C4</x:f>
        <x:v>1</x:v>
      </x:c>
      <x:c r="H4" t="n">
        <x:f>F4-D4</x:f>
        <x:v>0</x:v>
      </x:c>
      <x:c r="I4" t="str">
        <x:v>EMANUELLY DO NASCIMENTO BEZERRA</x:v>
      </x:c>
    </x:row>
    <x:row r="5">
      <x:c r="A5" t="str">
        <x:v>1A004</x:v>
      </x:c>
      <x:c r="B5" t="str">
        <x:v>1º ano</x:v>
      </x:c>
      <x:c r="C5" t="n">
        <x:f>Alunos_Restrito!AI8</x:f>
        <x:v>16</x:v>
      </x:c>
      <x:c r="D5" t="n">
        <x:f>Alunos_Restrito!AL8</x:f>
        <x:v>1</x:v>
      </x:c>
      <x:c r="E5" t="n">
        <x:f>Alunos_Restrito!AI9</x:f>
        <x:v>18</x:v>
      </x:c>
      <x:c r="F5" t="n">
        <x:f>Alunos_Restrito!AL9</x:f>
        <x:v>1</x:v>
      </x:c>
      <x:c r="G5" t="n">
        <x:f>E5-C5</x:f>
        <x:v>2</x:v>
      </x:c>
      <x:c r="H5" t="n">
        <x:f>F5-D5</x:f>
        <x:v>0</x:v>
      </x:c>
      <x:c r="I5" t="str">
        <x:v>FRANCISCO MIGUEL MARTINS DE SOUSA</x:v>
      </x:c>
    </x:row>
    <x:row r="6">
      <x:c r="A6" t="str">
        <x:v>1A005</x:v>
      </x:c>
      <x:c r="B6" t="str">
        <x:v>1º ano</x:v>
      </x:c>
      <x:c r="C6" t="n">
        <x:f>Alunos_Restrito!AI10</x:f>
        <x:v>16</x:v>
      </x:c>
      <x:c r="D6" t="n">
        <x:f>Alunos_Restrito!AL10</x:f>
        <x:v>1</x:v>
      </x:c>
      <x:c r="E6" t="n">
        <x:f>Alunos_Restrito!AI11</x:f>
        <x:v>13</x:v>
      </x:c>
      <x:c r="F6" t="n">
        <x:f>Alunos_Restrito!AL11</x:f>
        <x:v>0</x:v>
      </x:c>
      <x:c r="G6" t="n">
        <x:f>E6-C6</x:f>
        <x:v>-3</x:v>
      </x:c>
      <x:c r="H6" t="n">
        <x:f>F6-D6</x:f>
        <x:v>-1</x:v>
      </x:c>
      <x:c r="I6" t="str">
        <x:v>GUSTAVO HENRIQUE MORENO DA SILVA</x:v>
      </x:c>
    </x:row>
    <x:row r="7">
      <x:c r="A7" t="str">
        <x:v>1A006</x:v>
      </x:c>
      <x:c r="B7" t="str">
        <x:v>1º ano</x:v>
      </x:c>
      <x:c r="C7" t="n">
        <x:f>Alunos_Restrito!AI12</x:f>
        <x:v>16</x:v>
      </x:c>
      <x:c r="D7" t="n">
        <x:f>Alunos_Restrito!AL12</x:f>
        <x:v>1</x:v>
      </x:c>
      <x:c r="E7" t="n">
        <x:f>Alunos_Restrito!AI13</x:f>
        <x:v>16</x:v>
      </x:c>
      <x:c r="F7" t="n">
        <x:f>Alunos_Restrito!AL13</x:f>
        <x:v>0</x:v>
      </x:c>
      <x:c r="G7" t="n">
        <x:f>E7-C7</x:f>
        <x:v>0</x:v>
      </x:c>
      <x:c r="H7" t="n">
        <x:f>F7-D7</x:f>
        <x:v>-1</x:v>
      </x:c>
      <x:c r="I7" t="str">
        <x:v>GUSTAVO SALES MACHADO</x:v>
      </x:c>
    </x:row>
    <x:row r="8">
      <x:c r="A8" t="str">
        <x:v>1A007</x:v>
      </x:c>
      <x:c r="B8" t="str">
        <x:v>1º ano</x:v>
      </x:c>
      <x:c r="C8" t="n">
        <x:f>Alunos_Restrito!AI14</x:f>
        <x:v>22</x:v>
      </x:c>
      <x:c r="D8" t="n">
        <x:f>Alunos_Restrito!AL14</x:f>
        <x:v>1</x:v>
      </x:c>
      <x:c r="E8" t="n">
        <x:f>Alunos_Restrito!AI15</x:f>
        <x:v>15</x:v>
      </x:c>
      <x:c r="F8" t="n">
        <x:f>Alunos_Restrito!AL15</x:f>
        <x:v>0</x:v>
      </x:c>
      <x:c r="G8" t="n">
        <x:f>E8-C8</x:f>
        <x:v>-7</x:v>
      </x:c>
      <x:c r="H8" t="n">
        <x:f>F8-D8</x:f>
        <x:v>-1</x:v>
      </x:c>
      <x:c r="I8" t="str">
        <x:v>ISABELLA MARTINS FEITOSA</x:v>
      </x:c>
    </x:row>
    <x:row r="9">
      <x:c r="A9" t="str">
        <x:v>1A008</x:v>
      </x:c>
      <x:c r="B9" t="str">
        <x:v>1º ano</x:v>
      </x:c>
      <x:c r="C9" t="n">
        <x:f>Alunos_Restrito!AI16</x:f>
        <x:v>14</x:v>
      </x:c>
      <x:c r="D9" t="n">
        <x:f>Alunos_Restrito!AL16</x:f>
        <x:v>0</x:v>
      </x:c>
      <x:c r="E9" t="n">
        <x:f>Alunos_Restrito!AI17</x:f>
        <x:v>18</x:v>
      </x:c>
      <x:c r="F9" t="n">
        <x:f>Alunos_Restrito!AL17</x:f>
        <x:v>1</x:v>
      </x:c>
      <x:c r="G9" t="n">
        <x:f>E9-C9</x:f>
        <x:v>4</x:v>
      </x:c>
      <x:c r="H9" t="n">
        <x:f>F9-D9</x:f>
        <x:v>1</x:v>
      </x:c>
      <x:c r="I9" t="str">
        <x:v>ISAC LUCCA FERNANDES MARTINS</x:v>
      </x:c>
    </x:row>
    <x:row r="10">
      <x:c r="A10" t="str">
        <x:v>1A009</x:v>
      </x:c>
      <x:c r="B10" t="str">
        <x:v>1º ano</x:v>
      </x:c>
      <x:c r="C10" t="n">
        <x:f>Alunos_Restrito!AI18</x:f>
        <x:v>11</x:v>
      </x:c>
      <x:c r="D10" t="n">
        <x:f>Alunos_Restrito!AL18</x:f>
        <x:v>0</x:v>
      </x:c>
      <x:c r="E10" t="n">
        <x:f>Alunos_Restrito!AI19</x:f>
        <x:v>15</x:v>
      </x:c>
      <x:c r="F10" t="n">
        <x:f>Alunos_Restrito!AL19</x:f>
        <x:v>0</x:v>
      </x:c>
      <x:c r="G10" t="n">
        <x:f>E10-C10</x:f>
        <x:v>4</x:v>
      </x:c>
      <x:c r="H10" t="n">
        <x:f>F10-D10</x:f>
        <x:v>0</x:v>
      </x:c>
      <x:c r="I10" t="str">
        <x:v>ISIS GOMES MESQUITA</x:v>
      </x:c>
    </x:row>
    <x:row r="11">
      <x:c r="A11" t="str">
        <x:v>1A010</x:v>
      </x:c>
      <x:c r="B11" t="str">
        <x:v>1º ano</x:v>
      </x:c>
      <x:c r="C11" t="n">
        <x:f>Alunos_Restrito!AI20</x:f>
        <x:v>13</x:v>
      </x:c>
      <x:c r="D11" t="n">
        <x:f>Alunos_Restrito!AL20</x:f>
        <x:v>0</x:v>
      </x:c>
      <x:c r="E11" t="n">
        <x:f>Alunos_Restrito!AI21</x:f>
        <x:v>13</x:v>
      </x:c>
      <x:c r="F11" t="n">
        <x:f>Alunos_Restrito!AL21</x:f>
        <x:v>0</x:v>
      </x:c>
      <x:c r="G11" t="n">
        <x:f>E11-C11</x:f>
        <x:v>0</x:v>
      </x:c>
      <x:c r="H11" t="n">
        <x:f>F11-D11</x:f>
        <x:v>0</x:v>
      </x:c>
      <x:c r="I11" t="str">
        <x:v>ISIS KETLEN SOUSA DA SILVA</x:v>
      </x:c>
    </x:row>
    <x:row r="12">
      <x:c r="A12" t="str">
        <x:v>1A011</x:v>
      </x:c>
      <x:c r="B12" t="str">
        <x:v>1º ano</x:v>
      </x:c>
      <x:c r="C12" t="n">
        <x:f>Alunos_Restrito!AI22</x:f>
        <x:v>21</x:v>
      </x:c>
      <x:c r="D12" t="n">
        <x:f>Alunos_Restrito!AL22</x:f>
        <x:v>1</x:v>
      </x:c>
      <x:c r="E12" t="n">
        <x:f>Alunos_Restrito!AI23</x:f>
        <x:v>15</x:v>
      </x:c>
      <x:c r="F12" t="n">
        <x:f>Alunos_Restrito!AL23</x:f>
        <x:v>0</x:v>
      </x:c>
      <x:c r="G12" t="n">
        <x:f>E12-C12</x:f>
        <x:v>-6</x:v>
      </x:c>
      <x:c r="H12" t="n">
        <x:f>F12-D12</x:f>
        <x:v>-1</x:v>
      </x:c>
      <x:c r="I12" t="str">
        <x:v>JOSE YHUDY BENICIO FERREIRA DE ANDRADE</x:v>
      </x:c>
    </x:row>
    <x:row r="13">
      <x:c r="A13" t="str">
        <x:v>1A012</x:v>
      </x:c>
      <x:c r="B13" t="str">
        <x:v>1º ano</x:v>
      </x:c>
      <x:c r="C13" t="n">
        <x:f>Alunos_Restrito!AI24</x:f>
        <x:v>22</x:v>
      </x:c>
      <x:c r="D13" t="n">
        <x:f>Alunos_Restrito!AL24</x:f>
        <x:v>1</x:v>
      </x:c>
      <x:c r="E13" t="n">
        <x:f>Alunos_Restrito!AI25</x:f>
        <x:v>19</x:v>
      </x:c>
      <x:c r="F13" t="n">
        <x:f>Alunos_Restrito!AL25</x:f>
        <x:v>1</x:v>
      </x:c>
      <x:c r="G13" t="n">
        <x:f>E13-C13</x:f>
        <x:v>-3</x:v>
      </x:c>
      <x:c r="H13" t="n">
        <x:f>F13-D13</x:f>
        <x:v>0</x:v>
      </x:c>
      <x:c r="I13" t="str">
        <x:v>LIVYA MARIA ALVES MELO</x:v>
      </x:c>
    </x:row>
    <x:row r="14">
      <x:c r="A14" t="str">
        <x:v>1A013</x:v>
      </x:c>
      <x:c r="B14" t="str">
        <x:v>1º ano</x:v>
      </x:c>
      <x:c r="C14" t="n">
        <x:f>Alunos_Restrito!AI26</x:f>
        <x:v>14</x:v>
      </x:c>
      <x:c r="D14" t="n">
        <x:f>Alunos_Restrito!AL26</x:f>
        <x:v>0</x:v>
      </x:c>
      <x:c r="E14" t="n">
        <x:f>Alunos_Restrito!AI27</x:f>
        <x:v>16</x:v>
      </x:c>
      <x:c r="F14" t="n">
        <x:f>Alunos_Restrito!AL27</x:f>
        <x:v>0</x:v>
      </x:c>
      <x:c r="G14" t="n">
        <x:f>E14-C14</x:f>
        <x:v>2</x:v>
      </x:c>
      <x:c r="H14" t="n">
        <x:f>F14-D14</x:f>
        <x:v>0</x:v>
      </x:c>
      <x:c r="I14" t="str">
        <x:v>LOUISE ALVES SANTIAGO</x:v>
      </x:c>
    </x:row>
    <x:row r="15">
      <x:c r="A15" t="str">
        <x:v>1A014</x:v>
      </x:c>
      <x:c r="B15" t="str">
        <x:v>1º ano</x:v>
      </x:c>
      <x:c r="C15" t="n">
        <x:f>Alunos_Restrito!AI28</x:f>
        <x:v>13</x:v>
      </x:c>
      <x:c r="D15" t="n">
        <x:f>Alunos_Restrito!AL28</x:f>
        <x:v>0</x:v>
      </x:c>
      <x:c r="E15" t="n">
        <x:f>Alunos_Restrito!AI29</x:f>
        <x:v>21</x:v>
      </x:c>
      <x:c r="F15" t="n">
        <x:f>Alunos_Restrito!AL29</x:f>
        <x:v>1</x:v>
      </x:c>
      <x:c r="G15" t="n">
        <x:f>E15-C15</x:f>
        <x:v>8</x:v>
      </x:c>
      <x:c r="H15" t="n">
        <x:f>F15-D15</x:f>
        <x:v>1</x:v>
      </x:c>
      <x:c r="I15" t="str">
        <x:v>LUNNA DE SOUSA SILVA</x:v>
      </x:c>
    </x:row>
    <x:row r="16">
      <x:c r="A16" t="str">
        <x:v>1A015</x:v>
      </x:c>
      <x:c r="B16" t="str">
        <x:v>1º ano</x:v>
      </x:c>
      <x:c r="C16" t="n">
        <x:f>Alunos_Restrito!AI30</x:f>
        <x:v>14</x:v>
      </x:c>
      <x:c r="D16" t="n">
        <x:f>Alunos_Restrito!AL30</x:f>
        <x:v>0</x:v>
      </x:c>
      <x:c r="E16" t="n">
        <x:f>Alunos_Restrito!AI31</x:f>
        <x:v>14</x:v>
      </x:c>
      <x:c r="F16" t="n">
        <x:f>Alunos_Restrito!AL31</x:f>
        <x:v>0</x:v>
      </x:c>
      <x:c r="G16" t="n">
        <x:f>E16-C16</x:f>
        <x:v>0</x:v>
      </x:c>
      <x:c r="H16" t="n">
        <x:f>F16-D16</x:f>
        <x:v>0</x:v>
      </x:c>
      <x:c r="I16" t="str">
        <x:v>MARIA AGATHA DE SOUSA NEVES</x:v>
      </x:c>
    </x:row>
    <x:row r="17">
      <x:c r="A17" t="str">
        <x:v>1A016</x:v>
      </x:c>
      <x:c r="B17" t="str">
        <x:v>1º ano</x:v>
      </x:c>
      <x:c r="C17" t="n">
        <x:f>Alunos_Restrito!AI32</x:f>
        <x:v>12</x:v>
      </x:c>
      <x:c r="D17" t="n">
        <x:f>Alunos_Restrito!AL32</x:f>
        <x:v>0</x:v>
      </x:c>
      <x:c r="E17" t="n">
        <x:f>Alunos_Restrito!AI33</x:f>
        <x:v>22</x:v>
      </x:c>
      <x:c r="F17" t="n">
        <x:f>Alunos_Restrito!AL33</x:f>
        <x:v>1</x:v>
      </x:c>
      <x:c r="G17" t="n">
        <x:f>E17-C17</x:f>
        <x:v>10</x:v>
      </x:c>
      <x:c r="H17" t="n">
        <x:f>F17-D17</x:f>
        <x:v>1</x:v>
      </x:c>
      <x:c r="I17" t="str">
        <x:v>MARIA ISIS DA CONCEICAO DE SOUSA</x:v>
      </x:c>
    </x:row>
    <x:row r="18">
      <x:c r="A18" t="str">
        <x:v>1A017</x:v>
      </x:c>
      <x:c r="B18" t="str">
        <x:v>1º ano</x:v>
      </x:c>
      <x:c r="C18" t="n">
        <x:f>Alunos_Restrito!AI34</x:f>
        <x:v>18</x:v>
      </x:c>
      <x:c r="D18" t="n">
        <x:f>Alunos_Restrito!AL34</x:f>
        <x:v>1</x:v>
      </x:c>
      <x:c r="E18" t="n">
        <x:f>Alunos_Restrito!AI35</x:f>
        <x:v>14</x:v>
      </x:c>
      <x:c r="F18" t="n">
        <x:f>Alunos_Restrito!AL35</x:f>
        <x:v>0</x:v>
      </x:c>
      <x:c r="G18" t="n">
        <x:f>E18-C18</x:f>
        <x:v>-4</x:v>
      </x:c>
      <x:c r="H18" t="n">
        <x:f>F18-D18</x:f>
        <x:v>-1</x:v>
      </x:c>
      <x:c r="I18" t="str">
        <x:v>MARIA ISIS PEREIRA GOMES</x:v>
      </x:c>
    </x:row>
    <x:row r="19">
      <x:c r="A19" t="str">
        <x:v>1A018</x:v>
      </x:c>
      <x:c r="B19" t="str">
        <x:v>1º ano</x:v>
      </x:c>
      <x:c r="C19" t="n">
        <x:f>Alunos_Restrito!AI36</x:f>
        <x:v>13</x:v>
      </x:c>
      <x:c r="D19" t="n">
        <x:f>Alunos_Restrito!AL36</x:f>
        <x:v>0</x:v>
      </x:c>
      <x:c r="E19" t="n">
        <x:f>Alunos_Restrito!AI37</x:f>
        <x:v>14</x:v>
      </x:c>
      <x:c r="F19" t="n">
        <x:f>Alunos_Restrito!AL37</x:f>
        <x:v>0</x:v>
      </x:c>
      <x:c r="G19" t="n">
        <x:f>E19-C19</x:f>
        <x:v>1</x:v>
      </x:c>
      <x:c r="H19" t="n">
        <x:f>F19-D19</x:f>
        <x:v>0</x:v>
      </x:c>
      <x:c r="I19" t="str">
        <x:v>MARIA JULIANA VIEIRA GOMES</x:v>
      </x:c>
    </x:row>
    <x:row r="20">
      <x:c r="A20" t="str">
        <x:v>1A019</x:v>
      </x:c>
      <x:c r="B20" t="str">
        <x:v>1º ano</x:v>
      </x:c>
      <x:c r="C20" t="n">
        <x:f>Alunos_Restrito!AI38</x:f>
        <x:v>16</x:v>
      </x:c>
      <x:c r="D20" t="n">
        <x:f>Alunos_Restrito!AL38</x:f>
        <x:v>1</x:v>
      </x:c>
      <x:c r="E20" t="n">
        <x:f>Alunos_Restrito!AI39</x:f>
        <x:v>15</x:v>
      </x:c>
      <x:c r="F20" t="n">
        <x:f>Alunos_Restrito!AL39</x:f>
        <x:v>0</x:v>
      </x:c>
      <x:c r="G20" t="n">
        <x:f>E20-C20</x:f>
        <x:v>-1</x:v>
      </x:c>
      <x:c r="H20" t="n">
        <x:f>F20-D20</x:f>
        <x:v>-1</x:v>
      </x:c>
      <x:c r="I20" t="str">
        <x:v>MARIA LETICIA MARTINS DA SILVA</x:v>
      </x:c>
    </x:row>
    <x:row r="21">
      <x:c r="A21" t="str">
        <x:v>1A020</x:v>
      </x:c>
      <x:c r="B21" t="str">
        <x:v>1º ano</x:v>
      </x:c>
      <x:c r="C21" t="n">
        <x:f>Alunos_Restrito!AI40</x:f>
        <x:v>20</x:v>
      </x:c>
      <x:c r="D21" t="n">
        <x:f>Alunos_Restrito!AL40</x:f>
        <x:v>1</x:v>
      </x:c>
      <x:c r="E21" t="n">
        <x:f>Alunos_Restrito!AI41</x:f>
        <x:v>16</x:v>
      </x:c>
      <x:c r="F21" t="n">
        <x:f>Alunos_Restrito!AL41</x:f>
        <x:v>0</x:v>
      </x:c>
      <x:c r="G21" t="n">
        <x:f>E21-C21</x:f>
        <x:v>-4</x:v>
      </x:c>
      <x:c r="H21" t="n">
        <x:f>F21-D21</x:f>
        <x:v>-1</x:v>
      </x:c>
      <x:c r="I21" t="str">
        <x:v>MARIA SOPHIA MARQUES SILVA</x:v>
      </x:c>
    </x:row>
    <x:row r="22">
      <x:c r="A22" t="str">
        <x:v>1A021</x:v>
      </x:c>
      <x:c r="B22" t="str">
        <x:v>1º ano</x:v>
      </x:c>
      <x:c r="C22" t="n">
        <x:f>Alunos_Restrito!AI42</x:f>
        <x:v>12</x:v>
      </x:c>
      <x:c r="D22" t="n">
        <x:f>Alunos_Restrito!AL42</x:f>
        <x:v>0</x:v>
      </x:c>
      <x:c r="E22" t="n">
        <x:f>Alunos_Restrito!AI43</x:f>
        <x:v>14</x:v>
      </x:c>
      <x:c r="F22" t="n">
        <x:f>Alunos_Restrito!AL43</x:f>
        <x:v>0</x:v>
      </x:c>
      <x:c r="G22" t="n">
        <x:f>E22-C22</x:f>
        <x:v>2</x:v>
      </x:c>
      <x:c r="H22" t="n">
        <x:f>F22-D22</x:f>
        <x:v>0</x:v>
      </x:c>
      <x:c r="I22" t="str">
        <x:v>MARIA YORRANA OLIVEIRA ARAUJO</x:v>
      </x:c>
    </x:row>
    <x:row r="23">
      <x:c r="A23" t="str">
        <x:v>1A022</x:v>
      </x:c>
      <x:c r="B23" t="str">
        <x:v>1º ano</x:v>
      </x:c>
      <x:c r="C23" t="n">
        <x:f>Alunos_Restrito!AI44</x:f>
        <x:v>17</x:v>
      </x:c>
      <x:c r="D23" t="n">
        <x:f>Alunos_Restrito!AL44</x:f>
        <x:v>1</x:v>
      </x:c>
      <x:c r="E23" t="n">
        <x:f>Alunos_Restrito!AI45</x:f>
        <x:v>21</x:v>
      </x:c>
      <x:c r="F23" t="n">
        <x:f>Alunos_Restrito!AL45</x:f>
        <x:v>1</x:v>
      </x:c>
      <x:c r="G23" t="n">
        <x:f>E23-C23</x:f>
        <x:v>4</x:v>
      </x:c>
      <x:c r="H23" t="n">
        <x:f>F23-D23</x:f>
        <x:v>0</x:v>
      </x:c>
      <x:c r="I23" t="str">
        <x:v>MOISES TOLEDO DE SOUSA</x:v>
      </x:c>
    </x:row>
    <x:row r="24">
      <x:c r="A24" t="str">
        <x:v>1A023</x:v>
      </x:c>
      <x:c r="B24" t="str">
        <x:v>1º ano</x:v>
      </x:c>
      <x:c r="C24" t="n">
        <x:f>Alunos_Restrito!AI46</x:f>
        <x:v>20</x:v>
      </x:c>
      <x:c r="D24" t="n">
        <x:f>Alunos_Restrito!AL46</x:f>
        <x:v>1</x:v>
      </x:c>
      <x:c r="E24" t="n">
        <x:f>Alunos_Restrito!AI47</x:f>
        <x:v>22</x:v>
      </x:c>
      <x:c r="F24" t="n">
        <x:f>Alunos_Restrito!AL47</x:f>
        <x:v>1</x:v>
      </x:c>
      <x:c r="G24" t="n">
        <x:f>E24-C24</x:f>
        <x:v>2</x:v>
      </x:c>
      <x:c r="H24" t="n">
        <x:f>F24-D24</x:f>
        <x:v>0</x:v>
      </x:c>
      <x:c r="I24" t="str">
        <x:v>RUAN LUCAS DE SOUZA SALES</x:v>
      </x:c>
    </x:row>
    <x:row r="25">
      <x:c r="A25" t="str">
        <x:v>1A024</x:v>
      </x:c>
      <x:c r="B25" t="str">
        <x:v>1º ano</x:v>
      </x:c>
      <x:c r="C25" t="n">
        <x:f>Alunos_Restrito!AI48</x:f>
        <x:v>11</x:v>
      </x:c>
      <x:c r="D25" t="n">
        <x:f>Alunos_Restrito!AL48</x:f>
        <x:v>0</x:v>
      </x:c>
      <x:c r="E25" t="n">
        <x:f>Alunos_Restrito!AI49</x:f>
        <x:v>17</x:v>
      </x:c>
      <x:c r="F25" t="n">
        <x:f>Alunos_Restrito!AL49</x:f>
        <x:v>1</x:v>
      </x:c>
      <x:c r="G25" t="n">
        <x:f>E25-C25</x:f>
        <x:v>6</x:v>
      </x:c>
      <x:c r="H25" t="n">
        <x:f>F25-D25</x:f>
        <x:v>1</x:v>
      </x:c>
      <x:c r="I25" t="str">
        <x:v>SARAH ELOYSE LOPES VERISSIMO</x:v>
      </x:c>
    </x:row>
    <x:row r="26">
      <x:c r="A26" t="str">
        <x:v>2A001</x:v>
      </x:c>
      <x:c r="B26" t="str">
        <x:v>2º ano</x:v>
      </x:c>
      <x:c r="C26" t="n">
        <x:f>Alunos_Restrito!AI50</x:f>
        <x:v>15</x:v>
      </x:c>
      <x:c r="D26" t="n">
        <x:f>Alunos_Restrito!AL50</x:f>
        <x:v>0</x:v>
      </x:c>
      <x:c r="E26" t="n">
        <x:f>Alunos_Restrito!AI51</x:f>
        <x:v>21</x:v>
      </x:c>
      <x:c r="F26" t="n">
        <x:f>Alunos_Restrito!AL51</x:f>
        <x:v>1</x:v>
      </x:c>
      <x:c r="G26" t="n">
        <x:f>E26-C26</x:f>
        <x:v>6</x:v>
      </x:c>
      <x:c r="H26" t="n">
        <x:f>F26-D26</x:f>
        <x:v>1</x:v>
      </x:c>
      <x:c r="I26" t="str">
        <x:v>ANA LAYLA DA SILVA NASCIMENTO</x:v>
      </x:c>
    </x:row>
    <x:row r="27">
      <x:c r="A27" t="str">
        <x:v>2A002</x:v>
      </x:c>
      <x:c r="B27" t="str">
        <x:v>2º ano</x:v>
      </x:c>
      <x:c r="C27" t="n">
        <x:f>Alunos_Restrito!AI52</x:f>
        <x:v>15</x:v>
      </x:c>
      <x:c r="D27" t="n">
        <x:f>Alunos_Restrito!AL52</x:f>
        <x:v>0</x:v>
      </x:c>
      <x:c r="E27" t="n">
        <x:f>Alunos_Restrito!AI53</x:f>
        <x:v>15</x:v>
      </x:c>
      <x:c r="F27" t="n">
        <x:f>Alunos_Restrito!AL53</x:f>
        <x:v>0</x:v>
      </x:c>
      <x:c r="G27" t="n">
        <x:f>E27-C27</x:f>
        <x:v>0</x:v>
      </x:c>
      <x:c r="H27" t="n">
        <x:f>F27-D27</x:f>
        <x:v>0</x:v>
      </x:c>
      <x:c r="I27" t="str">
        <x:v>ANA LYVIA DA SILVA NASCIMENTO</x:v>
      </x:c>
    </x:row>
    <x:row r="28">
      <x:c r="A28" t="str">
        <x:v>2A003</x:v>
      </x:c>
      <x:c r="B28" t="str">
        <x:v>2º ano</x:v>
      </x:c>
      <x:c r="C28" t="n">
        <x:f>Alunos_Restrito!AI54</x:f>
        <x:v>19</x:v>
      </x:c>
      <x:c r="D28" t="n">
        <x:f>Alunos_Restrito!AL54</x:f>
        <x:v>1</x:v>
      </x:c>
      <x:c r="E28" t="n">
        <x:f>Alunos_Restrito!AI55</x:f>
        <x:v>22</x:v>
      </x:c>
      <x:c r="F28" t="n">
        <x:f>Alunos_Restrito!AL55</x:f>
        <x:v>1</x:v>
      </x:c>
      <x:c r="G28" t="n">
        <x:f>E28-C28</x:f>
        <x:v>3</x:v>
      </x:c>
      <x:c r="H28" t="n">
        <x:f>F28-D28</x:f>
        <x:v>0</x:v>
      </x:c>
      <x:c r="I28" t="str">
        <x:v>ANGELA SOPHIA BARBOZA DE OLIVEIRA</x:v>
      </x:c>
    </x:row>
    <x:row r="29">
      <x:c r="A29" t="str">
        <x:v>2A004</x:v>
      </x:c>
      <x:c r="B29" t="str">
        <x:v>2º ano</x:v>
      </x:c>
      <x:c r="C29" t="n">
        <x:f>Alunos_Restrito!AI56</x:f>
        <x:v>18</x:v>
      </x:c>
      <x:c r="D29" t="n">
        <x:f>Alunos_Restrito!AL56</x:f>
        <x:v>1</x:v>
      </x:c>
      <x:c r="E29" t="n">
        <x:f>Alunos_Restrito!AI57</x:f>
        <x:v>22</x:v>
      </x:c>
      <x:c r="F29" t="n">
        <x:f>Alunos_Restrito!AL57</x:f>
        <x:v>1</x:v>
      </x:c>
      <x:c r="G29" t="n">
        <x:f>E29-C29</x:f>
        <x:v>4</x:v>
      </x:c>
      <x:c r="H29" t="n">
        <x:f>F29-D29</x:f>
        <x:v>0</x:v>
      </x:c>
      <x:c r="I29" t="str">
        <x:v>ANTONIA AURORA GOMES MELO</x:v>
      </x:c>
    </x:row>
    <x:row r="30">
      <x:c r="A30" t="str">
        <x:v>2A005</x:v>
      </x:c>
      <x:c r="B30" t="str">
        <x:v>2º ano</x:v>
      </x:c>
      <x:c r="C30" t="n">
        <x:f>Alunos_Restrito!AI58</x:f>
        <x:v>7</x:v>
      </x:c>
      <x:c r="D30" t="n">
        <x:f>Alunos_Restrito!AL58</x:f>
        <x:v>0</x:v>
      </x:c>
      <x:c r="E30" t="n">
        <x:f>Alunos_Restrito!AI59</x:f>
        <x:v>5</x:v>
      </x:c>
      <x:c r="F30" t="n">
        <x:f>Alunos_Restrito!AL59</x:f>
        <x:v>0</x:v>
      </x:c>
      <x:c r="G30" t="n">
        <x:f>E30-C30</x:f>
        <x:v>-2</x:v>
      </x:c>
      <x:c r="H30" t="n">
        <x:f>F30-D30</x:f>
        <x:v>0</x:v>
      </x:c>
      <x:c r="I30" t="str">
        <x:v>ANTONIO SAMUEL DE OLIVEIRA VERAS</x:v>
      </x:c>
    </x:row>
    <x:row r="31">
      <x:c r="A31" t="str">
        <x:v>2A006</x:v>
      </x:c>
      <x:c r="B31" t="str">
        <x:v>2º ano</x:v>
      </x:c>
      <x:c r="C31" t="n">
        <x:f>Alunos_Restrito!AI60</x:f>
        <x:v>18</x:v>
      </x:c>
      <x:c r="D31" t="n">
        <x:f>Alunos_Restrito!AL60</x:f>
        <x:v>1</x:v>
      </x:c>
      <x:c r="E31" t="n">
        <x:f>Alunos_Restrito!AI61</x:f>
        <x:v>14</x:v>
      </x:c>
      <x:c r="F31" t="n">
        <x:f>Alunos_Restrito!AL61</x:f>
        <x:v>0</x:v>
      </x:c>
      <x:c r="G31" t="n">
        <x:f>E31-C31</x:f>
        <x:v>-4</x:v>
      </x:c>
      <x:c r="H31" t="n">
        <x:f>F31-D31</x:f>
        <x:v>-1</x:v>
      </x:c>
      <x:c r="I31" t="str">
        <x:v>CECILIA AQUINO DE SOUSA</x:v>
      </x:c>
    </x:row>
    <x:row r="32">
      <x:c r="A32" t="str">
        <x:v>2A007</x:v>
      </x:c>
      <x:c r="B32" t="str">
        <x:v>2º ano</x:v>
      </x:c>
      <x:c r="C32" t="n">
        <x:f>Alunos_Restrito!AI62</x:f>
        <x:v>14</x:v>
      </x:c>
      <x:c r="D32" t="n">
        <x:f>Alunos_Restrito!AL62</x:f>
        <x:v>0</x:v>
      </x:c>
      <x:c r="E32" t="n">
        <x:f>Alunos_Restrito!AI63</x:f>
        <x:v>19</x:v>
      </x:c>
      <x:c r="F32" t="n">
        <x:f>Alunos_Restrito!AL63</x:f>
        <x:v>1</x:v>
      </x:c>
      <x:c r="G32" t="n">
        <x:f>E32-C32</x:f>
        <x:v>5</x:v>
      </x:c>
      <x:c r="H32" t="n">
        <x:f>F32-D32</x:f>
        <x:v>1</x:v>
      </x:c>
      <x:c r="I32" t="str">
        <x:v>DAVI ARAUJO MARTINS</x:v>
      </x:c>
    </x:row>
    <x:row r="33">
      <x:c r="A33" t="str">
        <x:v>2A009</x:v>
      </x:c>
      <x:c r="B33" t="str">
        <x:v>2º ano</x:v>
      </x:c>
      <x:c r="C33" t="n">
        <x:f>Alunos_Restrito!AI65</x:f>
        <x:v>11</x:v>
      </x:c>
      <x:c r="D33" t="n">
        <x:f>Alunos_Restrito!AL65</x:f>
        <x:v>0</x:v>
      </x:c>
      <x:c r="E33" t="n">
        <x:f>Alunos_Restrito!AI66</x:f>
        <x:v>22</x:v>
      </x:c>
      <x:c r="F33" t="n">
        <x:f>Alunos_Restrito!AL66</x:f>
        <x:v>1</x:v>
      </x:c>
      <x:c r="G33" t="n">
        <x:f>E33-C33</x:f>
        <x:v>11</x:v>
      </x:c>
      <x:c r="H33" t="n">
        <x:f>F33-D33</x:f>
        <x:v>1</x:v>
      </x:c>
      <x:c r="I33" t="str">
        <x:v>FRANCISCO LUCCA NEVES GONCALVES</x:v>
      </x:c>
    </x:row>
    <x:row r="34">
      <x:c r="A34" t="str">
        <x:v>2A010</x:v>
      </x:c>
      <x:c r="B34" t="str">
        <x:v>2º ano</x:v>
      </x:c>
      <x:c r="C34" t="n">
        <x:f>Alunos_Restrito!AI67</x:f>
        <x:v>18</x:v>
      </x:c>
      <x:c r="D34" t="n">
        <x:f>Alunos_Restrito!AL67</x:f>
        <x:v>1</x:v>
      </x:c>
      <x:c r="E34" t="n">
        <x:f>Alunos_Restrito!AI68</x:f>
        <x:v>22</x:v>
      </x:c>
      <x:c r="F34" t="n">
        <x:f>Alunos_Restrito!AL68</x:f>
        <x:v>1</x:v>
      </x:c>
      <x:c r="G34" t="n">
        <x:f>E34-C34</x:f>
        <x:v>4</x:v>
      </x:c>
      <x:c r="H34" t="n">
        <x:f>F34-D34</x:f>
        <x:v>0</x:v>
      </x:c>
      <x:c r="I34" t="str">
        <x:v>GABRIEL MACEDO DE MELO</x:v>
      </x:c>
    </x:row>
    <x:row r="35">
      <x:c r="A35" t="str">
        <x:v>2A011</x:v>
      </x:c>
      <x:c r="B35" t="str">
        <x:v>2º ano</x:v>
      </x:c>
      <x:c r="C35" t="n">
        <x:f>Alunos_Restrito!AI69</x:f>
        <x:v>16</x:v>
      </x:c>
      <x:c r="D35" t="n">
        <x:f>Alunos_Restrito!AL69</x:f>
        <x:v>1</x:v>
      </x:c>
      <x:c r="E35" t="n">
        <x:f>Alunos_Restrito!AI70</x:f>
        <x:v>19</x:v>
      </x:c>
      <x:c r="F35" t="n">
        <x:f>Alunos_Restrito!AL70</x:f>
        <x:v>1</x:v>
      </x:c>
      <x:c r="G35" t="n">
        <x:f>E35-C35</x:f>
        <x:v>3</x:v>
      </x:c>
      <x:c r="H35" t="n">
        <x:f>F35-D35</x:f>
        <x:v>0</x:v>
      </x:c>
      <x:c r="I35" t="str">
        <x:v>GUILHERME MATIAS BRAZ</x:v>
      </x:c>
    </x:row>
    <x:row r="36">
      <x:c r="A36" t="str">
        <x:v>2A012</x:v>
      </x:c>
      <x:c r="B36" t="str">
        <x:v>2º ano</x:v>
      </x:c>
      <x:c r="C36" t="n">
        <x:f>Alunos_Restrito!AI71</x:f>
        <x:v>19</x:v>
      </x:c>
      <x:c r="D36" t="n">
        <x:f>Alunos_Restrito!AL71</x:f>
        <x:v>1</x:v>
      </x:c>
      <x:c r="E36" t="n">
        <x:f>Alunos_Restrito!AI72</x:f>
        <x:v>19</x:v>
      </x:c>
      <x:c r="F36" t="n">
        <x:f>Alunos_Restrito!AL72</x:f>
        <x:v>1</x:v>
      </x:c>
      <x:c r="G36" t="n">
        <x:f>E36-C36</x:f>
        <x:v>0</x:v>
      </x:c>
      <x:c r="H36" t="n">
        <x:f>F36-D36</x:f>
        <x:v>0</x:v>
      </x:c>
      <x:c r="I36" t="str">
        <x:v>ICARO RAVI BEZERRA DOS SANTOS</x:v>
      </x:c>
    </x:row>
    <x:row r="37">
      <x:c r="A37" t="str">
        <x:v>2A013</x:v>
      </x:c>
      <x:c r="B37" t="str">
        <x:v>2º ano</x:v>
      </x:c>
      <x:c r="C37" t="n">
        <x:f>Alunos_Restrito!AI73</x:f>
        <x:v>9</x:v>
      </x:c>
      <x:c r="D37" t="n">
        <x:f>Alunos_Restrito!AL73</x:f>
        <x:v>0</x:v>
      </x:c>
      <x:c r="E37" t="n">
        <x:f>Alunos_Restrito!AI74</x:f>
        <x:v>19</x:v>
      </x:c>
      <x:c r="F37" t="n">
        <x:f>Alunos_Restrito!AL74</x:f>
        <x:v>1</x:v>
      </x:c>
      <x:c r="G37" t="n">
        <x:f>E37-C37</x:f>
        <x:v>10</x:v>
      </x:c>
      <x:c r="H37" t="n">
        <x:f>F37-D37</x:f>
        <x:v>1</x:v>
      </x:c>
      <x:c r="I37" t="str">
        <x:v>ICARO SOARES LEITE DE SOUSA</x:v>
      </x:c>
    </x:row>
    <x:row r="38">
      <x:c r="A38" t="str">
        <x:v>2A015</x:v>
      </x:c>
      <x:c r="B38" t="str">
        <x:v>2º ano</x:v>
      </x:c>
      <x:c r="C38" t="n">
        <x:f>Alunos_Restrito!AI76</x:f>
        <x:v>22</x:v>
      </x:c>
      <x:c r="D38" t="n">
        <x:f>Alunos_Restrito!AL76</x:f>
        <x:v>1</x:v>
      </x:c>
      <x:c r="E38" t="n">
        <x:f>Alunos_Restrito!AI77</x:f>
        <x:v>18</x:v>
      </x:c>
      <x:c r="F38" t="n">
        <x:f>Alunos_Restrito!AL77</x:f>
        <x:v>1</x:v>
      </x:c>
      <x:c r="G38" t="n">
        <x:f>E38-C38</x:f>
        <x:v>-4</x:v>
      </x:c>
      <x:c r="H38" t="n">
        <x:f>F38-D38</x:f>
        <x:v>0</x:v>
      </x:c>
      <x:c r="I38" t="str">
        <x:v>JOAO GABRIEL RODRIGUES OLIVEIRO</x:v>
      </x:c>
    </x:row>
    <x:row r="39">
      <x:c r="A39" t="str">
        <x:v>2A016</x:v>
      </x:c>
      <x:c r="B39" t="str">
        <x:v>2º ano</x:v>
      </x:c>
      <x:c r="C39" t="n">
        <x:f>Alunos_Restrito!AI78</x:f>
        <x:v>19</x:v>
      </x:c>
      <x:c r="D39" t="n">
        <x:f>Alunos_Restrito!AL78</x:f>
        <x:v>1</x:v>
      </x:c>
      <x:c r="E39" t="n">
        <x:f>Alunos_Restrito!AI79</x:f>
        <x:v>10</x:v>
      </x:c>
      <x:c r="F39" t="n">
        <x:f>Alunos_Restrito!AL79</x:f>
        <x:v>0</x:v>
      </x:c>
      <x:c r="G39" t="n">
        <x:f>E39-C39</x:f>
        <x:v>-9</x:v>
      </x:c>
      <x:c r="H39" t="n">
        <x:f>F39-D39</x:f>
        <x:v>-1</x:v>
      </x:c>
      <x:c r="I39" t="str">
        <x:v>JOAO MATHEUS RODRIGUES MOREIRA</x:v>
      </x:c>
    </x:row>
    <x:row r="40">
      <x:c r="A40" t="str">
        <x:v>2A017</x:v>
      </x:c>
      <x:c r="B40" t="str">
        <x:v>2º ano</x:v>
      </x:c>
      <x:c r="C40" t="n">
        <x:f>Alunos_Restrito!AI80</x:f>
        <x:v>13</x:v>
      </x:c>
      <x:c r="D40" t="n">
        <x:f>Alunos_Restrito!AL80</x:f>
        <x:v>0</x:v>
      </x:c>
      <x:c r="E40" t="n">
        <x:f>Alunos_Restrito!AI81</x:f>
        <x:v>11</x:v>
      </x:c>
      <x:c r="F40" t="n">
        <x:f>Alunos_Restrito!AL81</x:f>
        <x:v>0</x:v>
      </x:c>
      <x:c r="G40" t="n">
        <x:f>E40-C40</x:f>
        <x:v>-2</x:v>
      </x:c>
      <x:c r="H40" t="n">
        <x:f>F40-D40</x:f>
        <x:v>0</x:v>
      </x:c>
      <x:c r="I40" t="str">
        <x:v>JOSE BRENO DA SILVA GOMES</x:v>
      </x:c>
    </x:row>
    <x:row r="41">
      <x:c r="A41" t="str">
        <x:v>2A018</x:v>
      </x:c>
      <x:c r="B41" t="str">
        <x:v>2º ano</x:v>
      </x:c>
      <x:c r="C41" t="n">
        <x:f>Alunos_Restrito!AI82</x:f>
        <x:v>14</x:v>
      </x:c>
      <x:c r="D41" t="n">
        <x:f>Alunos_Restrito!AL82</x:f>
        <x:v>0</x:v>
      </x:c>
      <x:c r="E41" t="n">
        <x:f>Alunos_Restrito!AI83</x:f>
        <x:v>16</x:v>
      </x:c>
      <x:c r="F41" t="n">
        <x:f>Alunos_Restrito!AL83</x:f>
        <x:v>1</x:v>
      </x:c>
      <x:c r="G41" t="n">
        <x:f>E41-C41</x:f>
        <x:v>2</x:v>
      </x:c>
      <x:c r="H41" t="n">
        <x:f>F41-D41</x:f>
        <x:v>1</x:v>
      </x:c>
      <x:c r="I41" t="str">
        <x:v>JOSE MIGUEL RODRIGUES DE SOUZA</x:v>
      </x:c>
    </x:row>
    <x:row r="42">
      <x:c r="A42" t="str">
        <x:v>2A019</x:v>
      </x:c>
      <x:c r="B42" t="str">
        <x:v>2º ano</x:v>
      </x:c>
      <x:c r="C42" t="n">
        <x:f>Alunos_Restrito!AI84</x:f>
        <x:v>9</x:v>
      </x:c>
      <x:c r="D42" t="n">
        <x:f>Alunos_Restrito!AL84</x:f>
        <x:v>0</x:v>
      </x:c>
      <x:c r="E42" t="n">
        <x:f>Alunos_Restrito!AI85</x:f>
        <x:v>0</x:v>
      </x:c>
      <x:c r="F42" t="n">
        <x:f>Alunos_Restrito!AL85</x:f>
        <x:v>0</x:v>
      </x:c>
      <x:c r="G42" t="n">
        <x:f>E42-C42</x:f>
        <x:v>-9</x:v>
      </x:c>
      <x:c r="H42" t="n">
        <x:f>F42-D42</x:f>
        <x:v>0</x:v>
      </x:c>
      <x:c r="I42" t="str">
        <x:v>MARCELO DAVI UCHOA FERREIRA</x:v>
      </x:c>
    </x:row>
    <x:row r="43">
      <x:c r="A43" t="str">
        <x:v>2A021</x:v>
      </x:c>
      <x:c r="B43" t="str">
        <x:v>2º ano</x:v>
      </x:c>
      <x:c r="C43" t="n">
        <x:f>Alunos_Restrito!AI87</x:f>
        <x:v>17</x:v>
      </x:c>
      <x:c r="D43" t="n">
        <x:f>Alunos_Restrito!AL87</x:f>
        <x:v>1</x:v>
      </x:c>
      <x:c r="E43" t="n">
        <x:f>Alunos_Restrito!AI88</x:f>
        <x:v>16</x:v>
      </x:c>
      <x:c r="F43" t="n">
        <x:f>Alunos_Restrito!AL88</x:f>
        <x:v>1</x:v>
      </x:c>
      <x:c r="G43" t="n">
        <x:f>E43-C43</x:f>
        <x:v>-1</x:v>
      </x:c>
      <x:c r="H43" t="n">
        <x:f>F43-D43</x:f>
        <x:v>0</x:v>
      </x:c>
      <x:c r="I43" t="str">
        <x:v>MARIA SOFIA DA SILVA FERREIRA</x:v>
      </x:c>
    </x:row>
    <x:row r="44">
      <x:c r="A44" t="str">
        <x:v>2A022</x:v>
      </x:c>
      <x:c r="B44" t="str">
        <x:v>2º ano</x:v>
      </x:c>
      <x:c r="C44" t="n">
        <x:f>Alunos_Restrito!AI89</x:f>
        <x:v>18</x:v>
      </x:c>
      <x:c r="D44" t="n">
        <x:f>Alunos_Restrito!AL89</x:f>
        <x:v>1</x:v>
      </x:c>
      <x:c r="E44" t="n">
        <x:f>Alunos_Restrito!AI90</x:f>
        <x:v>17</x:v>
      </x:c>
      <x:c r="F44" t="n">
        <x:f>Alunos_Restrito!AL90</x:f>
        <x:v>1</x:v>
      </x:c>
      <x:c r="G44" t="n">
        <x:f>E44-C44</x:f>
        <x:v>-1</x:v>
      </x:c>
      <x:c r="H44" t="n">
        <x:f>F44-D44</x:f>
        <x:v>0</x:v>
      </x:c>
      <x:c r="I44" t="str">
        <x:v>MARIA VALENTINA LEITAO DA SILVA</x:v>
      </x:c>
    </x:row>
    <x:row r="45">
      <x:c r="A45" t="str">
        <x:v>2A023</x:v>
      </x:c>
      <x:c r="B45" t="str">
        <x:v>2º ano</x:v>
      </x:c>
      <x:c r="C45" t="n">
        <x:f>Alunos_Restrito!AI91</x:f>
        <x:v>20</x:v>
      </x:c>
      <x:c r="D45" t="n">
        <x:f>Alunos_Restrito!AL91</x:f>
        <x:v>1</x:v>
      </x:c>
      <x:c r="E45" t="n">
        <x:f>Alunos_Restrito!AI92</x:f>
        <x:v>20</x:v>
      </x:c>
      <x:c r="F45" t="n">
        <x:f>Alunos_Restrito!AL92</x:f>
        <x:v>1</x:v>
      </x:c>
      <x:c r="G45" t="n">
        <x:f>E45-C45</x:f>
        <x:v>0</x:v>
      </x:c>
      <x:c r="H45" t="n">
        <x:f>F45-D45</x:f>
        <x:v>0</x:v>
      </x:c>
      <x:c r="I45" t="str">
        <x:v>MELISSA MARIA CAVALCANTE</x:v>
      </x:c>
    </x:row>
    <x:row r="46">
      <x:c r="A46" t="str">
        <x:v>2A024</x:v>
      </x:c>
      <x:c r="B46" t="str">
        <x:v>2º ano</x:v>
      </x:c>
      <x:c r="C46" t="n">
        <x:f>Alunos_Restrito!AI93</x:f>
        <x:v>7</x:v>
      </x:c>
      <x:c r="D46" t="n">
        <x:f>Alunos_Restrito!AL93</x:f>
        <x:v>0</x:v>
      </x:c>
      <x:c r="E46" t="n">
        <x:f>Alunos_Restrito!AI94</x:f>
        <x:v>0</x:v>
      </x:c>
      <x:c r="F46" t="n">
        <x:f>Alunos_Restrito!AL94</x:f>
        <x:v>0</x:v>
      </x:c>
      <x:c r="G46" t="n">
        <x:f>E46-C46</x:f>
        <x:v>-7</x:v>
      </x:c>
      <x:c r="H46" t="n">
        <x:f>F46-D46</x:f>
        <x:v>0</x:v>
      </x:c>
      <x:c r="I46" t="str">
        <x:v>MIGUEL ALBERTO UCHOA FERREIRA</x:v>
      </x:c>
    </x:row>
    <x:row r="47">
      <x:c r="A47" t="str">
        <x:v>2A025</x:v>
      </x:c>
      <x:c r="B47" t="str">
        <x:v>2º ano</x:v>
      </x:c>
      <x:c r="C47" t="n">
        <x:f>Alunos_Restrito!AI95</x:f>
        <x:v>22</x:v>
      </x:c>
      <x:c r="D47" t="n">
        <x:f>Alunos_Restrito!AL95</x:f>
        <x:v>1</x:v>
      </x:c>
      <x:c r="E47" t="n">
        <x:f>Alunos_Restrito!AI96</x:f>
        <x:v>19</x:v>
      </x:c>
      <x:c r="F47" t="n">
        <x:f>Alunos_Restrito!AL96</x:f>
        <x:v>1</x:v>
      </x:c>
      <x:c r="G47" t="n">
        <x:f>E47-C47</x:f>
        <x:v>-3</x:v>
      </x:c>
      <x:c r="H47" t="n">
        <x:f>F47-D47</x:f>
        <x:v>0</x:v>
      </x:c>
      <x:c r="I47" t="str">
        <x:v>NICOLAS MORAES DA SILV</x:v>
      </x:c>
    </x:row>
    <x:row r="48">
      <x:c r="A48" t="str">
        <x:v>2A026</x:v>
      </x:c>
      <x:c r="B48" t="str">
        <x:v>2º ano</x:v>
      </x:c>
      <x:c r="C48" t="n">
        <x:f>Alunos_Restrito!AI97</x:f>
        <x:v>21</x:v>
      </x:c>
      <x:c r="D48" t="n">
        <x:f>Alunos_Restrito!AL97</x:f>
        <x:v>1</x:v>
      </x:c>
      <x:c r="E48" t="n">
        <x:f>Alunos_Restrito!AI98</x:f>
        <x:v>15</x:v>
      </x:c>
      <x:c r="F48" t="n">
        <x:f>Alunos_Restrito!AL98</x:f>
        <x:v>0</x:v>
      </x:c>
      <x:c r="G48" t="n">
        <x:f>E48-C48</x:f>
        <x:v>-6</x:v>
      </x:c>
      <x:c r="H48" t="n">
        <x:f>F48-D48</x:f>
        <x:v>-1</x:v>
      </x:c>
      <x:c r="I48" t="str">
        <x:v>PEDRO HENRIQUE LEITE DE SOUSA</x:v>
      </x:c>
    </x:row>
    <x:row r="49">
      <x:c r="A49" t="str">
        <x:v>2A027</x:v>
      </x:c>
      <x:c r="B49" t="str">
        <x:v>2º ano</x:v>
      </x:c>
      <x:c r="C49" t="n">
        <x:f>Alunos_Restrito!AI99</x:f>
        <x:v>19</x:v>
      </x:c>
      <x:c r="D49" t="n">
        <x:f>Alunos_Restrito!AL99</x:f>
        <x:v>1</x:v>
      </x:c>
      <x:c r="E49" t="n">
        <x:f>Alunos_Restrito!AI100</x:f>
        <x:v>19</x:v>
      </x:c>
      <x:c r="F49" t="n">
        <x:f>Alunos_Restrito!AL100</x:f>
        <x:v>1</x:v>
      </x:c>
      <x:c r="G49" t="n">
        <x:f>E49-C49</x:f>
        <x:v>0</x:v>
      </x:c>
      <x:c r="H49" t="n">
        <x:f>F49-D49</x:f>
        <x:v>0</x:v>
      </x:c>
      <x:c r="I49" t="str">
        <x:v>PEDRO LUAN COSTA VAL</x:v>
      </x:c>
    </x:row>
    <x:row r="50">
      <x:c r="A50" t="str">
        <x:v>2A028</x:v>
      </x:c>
      <x:c r="B50" t="str">
        <x:v>2º ano</x:v>
      </x:c>
      <x:c r="C50" t="n">
        <x:f>Alunos_Restrito!AI101</x:f>
        <x:v>20</x:v>
      </x:c>
      <x:c r="D50" t="n">
        <x:f>Alunos_Restrito!AL101</x:f>
        <x:v>1</x:v>
      </x:c>
      <x:c r="E50" t="n">
        <x:f>Alunos_Restrito!AI102</x:f>
        <x:v>18</x:v>
      </x:c>
      <x:c r="F50" t="n">
        <x:f>Alunos_Restrito!AL102</x:f>
        <x:v>1</x:v>
      </x:c>
      <x:c r="G50" t="n">
        <x:f>E50-C50</x:f>
        <x:v>-2</x:v>
      </x:c>
      <x:c r="H50" t="n">
        <x:f>F50-D50</x:f>
        <x:v>0</x:v>
      </x:c>
      <x:c r="I50" t="str">
        <x:v>SARA MELINDA TAVARES DE CASTRO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44" customHeight="1">
      <x:c r="A1" s="14" t="str">
        <x:v>SÍNTESE REPRODUZÍVEL DE METAS — CONTRAPROVA (CLASSIFICAÇÃO CAEd)</x:v>
      </x:c>
    </x:row>
    <x:row r="3" ht="28" customHeight="1">
      <x:c r="A3" s="8" t="str">
        <x:v>Ano</x:v>
      </x:c>
      <x:c r="B3" s="8" t="str">
        <x:v>Avaliados</x:v>
      </x:c>
      <x:c r="C3" s="8" t="str">
        <x:v>Adequados</x:v>
      </x:c>
      <x:c r="D3" s="8" t="str">
        <x:v>Taxa</x:v>
      </x:c>
      <x:c r="E3" s="8" t="str">
        <x:v>Meta</x:v>
      </x:c>
      <x:c r="F3" s="8" t="str">
        <x:v>Mínimo p/ meta</x:v>
      </x:c>
      <x:c r="G3" s="8" t="str">
        <x:v>Conversões</x:v>
      </x:c>
      <x:c r="H3" s="8" t="str">
        <x:v>Corte empírico</x:v>
      </x:c>
      <x:c r="I3" s="8" t="str">
        <x:v>Acertos mínimos*</x:v>
      </x:c>
      <x:c r="J3" s="8" t="str">
        <x:v>r Pearson pareado</x:v>
      </x:c>
      <x:c r="K3" s="8" t="str">
        <x:v>N pares</x:v>
      </x:c>
    </x:row>
    <x:row r="4">
      <x:c r="A4" t="str">
        <x:v>1º ano</x:v>
      </x:c>
      <x:c r="B4" t="n">
        <x:f>COUNTIFS(Alunos_Restrito!$C$2:$C$103,A4,Alunos_Restrito!$D$2:$D$103,"contraprova")</x:f>
        <x:v>24</x:v>
      </x:c>
      <x:c r="C4" t="n">
        <x:f>COUNTIFS(Alunos_Restrito!$C$2:$C$103,A4,Alunos_Restrito!$D$2:$D$103,"contraprova",Alunos_Restrito!$E$2:$E$103,"Adequado")</x:f>
        <x:v>10</x:v>
      </x:c>
      <x:c r="D4" s="2" t="n">
        <x:f>IFERROR(C4/B4,0)</x:f>
        <x:v>0.4166666666666667</x:v>
      </x:c>
      <x:c r="E4" s="2" t="n">
        <x:f>Parametros!$B$10</x:f>
        <x:v>0.8</x:v>
      </x:c>
      <x:c r="F4" t="n">
        <x:f>ROUNDUP(E4*B4,0)</x:f>
        <x:v>20</x:v>
      </x:c>
      <x:c r="G4" t="n">
        <x:f>MAX(0,F4-C4)</x:f>
        <x:v>10</x:v>
      </x:c>
      <x:c r="H4" t="n">
        <x:f>Parametros!$B$5</x:f>
        <x:v>17</x:v>
      </x:c>
      <x:c r="I4" t="n">
        <x:f>SUMIF(Prioridades!$B$2:$B$25,A4,Prioridades!$G$2:$G$25)</x:f>
        <x:v>20</x:v>
      </x:c>
      <x:c r="J4" s="4" t="n">
        <x:f>CORREL(Pares!$C$2:$C$25,Pares!$E$2:$E$25)</x:f>
        <x:v>0.10744698688490714</x:v>
      </x:c>
      <x:c r="K4" t="n">
        <x:f>COUNTIF(Pares!$B$2:$B$50,A4)</x:f>
        <x:v>24</x:v>
      </x:c>
    </x:row>
    <x:row r="5">
      <x:c r="A5" t="str">
        <x:v>2º ano</x:v>
      </x:c>
      <x:c r="B5" t="n">
        <x:f>COUNTIFS(Alunos_Restrito!$C$2:$C$103,A5,Alunos_Restrito!$D$2:$D$103,"contraprova")</x:f>
        <x:v>28</x:v>
      </x:c>
      <x:c r="C5" t="n">
        <x:f>COUNTIFS(Alunos_Restrito!$C$2:$C$103,A5,Alunos_Restrito!$D$2:$D$103,"contraprova",Alunos_Restrito!$E$2:$E$103,"Adequado")</x:f>
        <x:v>18</x:v>
      </x:c>
      <x:c r="D5" s="2" t="n">
        <x:f>IFERROR(C5/B5,0)</x:f>
        <x:v>0.6428571428571429</x:v>
      </x:c>
      <x:c r="E5" s="2" t="n">
        <x:f>Parametros!$B$10</x:f>
        <x:v>0.8</x:v>
      </x:c>
      <x:c r="F5" t="n">
        <x:f>ROUNDUP(E5*B5,0)</x:f>
        <x:v>23</x:v>
      </x:c>
      <x:c r="G5" t="n">
        <x:f>MAX(0,F5-C5)</x:f>
        <x:v>5</x:v>
      </x:c>
      <x:c r="H5" t="n">
        <x:f>Parametros!$B$7</x:f>
        <x:v>16</x:v>
      </x:c>
      <x:c r="I5" t="n">
        <x:f>SUMIF(Prioridades!$B$2:$B$25,A5,Prioridades!$G$2:$G$25)</x:f>
        <x:v>15</x:v>
      </x:c>
      <x:c r="J5" s="4" t="n">
        <x:f>CORREL(Pares!$C$26:$C$50,Pares!$E$26:$E$50)</x:f>
        <x:v>0.5864046712365544</x:v>
      </x:c>
      <x:c r="K5" t="n">
        <x:f>COUNTIF(Pares!$B$2:$B$50,A5)</x:f>
        <x:v>25</x:v>
      </x:c>
    </x:row>
    <x:row r="8">
      <x:c r="A8" t="str">
        <x:v>*Acertos mínimos: soma das lacunas empíricas dos estudantes mais próximos do corte, hipótese estritamente aritmética (não previsão).</x:v>
      </x:c>
    </x:row>
    <x:row r="10">
      <x:c r="A10" t="str">
        <x:v>ATENÇÃO: meta 80% refere-se à classificação Adequado do CAEd, não à medida de fluência/não leitor dos relatórios municipais.</x:v>
      </x:c>
    </x:row>
  </x:sheetData>
  <x:mergeCells>
    <x:mergeCell ref="A1:K1"/>
    <x:mergeCell ref="A8:K8"/>
    <x:mergeCell ref="A10:K10"/>
  </x:mergeCells>
  <x:conditionalFormatting sqref="D4:D5">
    <x:cfRule type="dataBar" priority="1">
      <x:dataBar>
        <x:cfvo type="min"/>
        <x:cfvo type="max"/>
        <x:color rgb="FF138B69"/>
      </x:dataBar>
      <x:extLst>
        <x:ext xmlns:x14="http://schemas.microsoft.com/office/spreadsheetml/2009/9/main" uri="{B025F937-C7B1-47D3-B67F-A62EFF666E3E}">
          <x14:id>{3CE234FE-AFE1-CAD4-82C1-2F3F27291C68}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CE234FE-AFE1-CAD4-82C1-2F3F27291C68}">
            <x14:dataBar gradient="1">
              <x14:cfvo type="min"/>
              <x14:cfvo type="max"/>
              <x14:fillColor rgb="FF138B69"/>
            </x14:dataBar>
          </x14:cfRule>
          <xm:sqref>D4:D5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40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32" customHeight="1">
      <x:c r="A1" s="8" t="str">
        <x:v>ID</x:v>
      </x:c>
      <x:c r="B1" s="8" t="str">
        <x:v>Ano</x:v>
      </x:c>
      <x:c r="C1" s="8" t="str">
        <x:v>Nome (RESTRITO)</x:v>
      </x:c>
      <x:c r="D1" s="8" t="str">
        <x:v>Total de acertos</x:v>
      </x:c>
      <x:c r="E1" s="8" t="str">
        <x:v>Lacuna até corte</x:v>
      </x:c>
      <x:c r="F1" s="8" t="str">
        <x:v>Selecionado p/ 80%</x:v>
      </x:c>
      <x:c r="G1" s="8" t="str">
        <x:v>Acertos min. grupo</x:v>
      </x:c>
      <x:c r="H1" s="8" t="str">
        <x:v>Nivel_CAEd</x:v>
      </x:c>
    </x:row>
    <x:row r="2">
      <x:c r="A2" t="str">
        <x:v>1A006</x:v>
      </x:c>
      <x:c r="B2" t="str">
        <x:v>1º ano</x:v>
      </x:c>
      <x:c r="C2" t="str">
        <x:v>GUSTAVO SALES MACHADO</x:v>
      </x:c>
      <x:c r="D2" t="n">
        <x:f>Alunos_Restrito!AI13</x:f>
        <x:v>16</x:v>
      </x:c>
      <x:c r="E2" t="n">
        <x:f>Alunos_Restrito!AN13</x:f>
        <x:v>1</x:v>
      </x:c>
      <x:c r="F2" t="n">
        <x:f>IF(COUNTIF($B$2:B2,B2)&lt;=IF(B2="1º ano",Metas!$G$4,Metas!$G$5),1,0)</x:f>
        <x:v>1</x:v>
      </x:c>
      <x:c r="G2" t="n">
        <x:f>E2*F2</x:f>
        <x:v>1</x:v>
      </x:c>
      <x:c r="H2" t="str">
        <x:v>Intermediário</x:v>
      </x:c>
    </x:row>
    <x:row r="3">
      <x:c r="A3" t="str">
        <x:v>1A013</x:v>
      </x:c>
      <x:c r="B3" t="str">
        <x:v>1º ano</x:v>
      </x:c>
      <x:c r="C3" t="str">
        <x:v>LOUISE ALVES SANTIAGO</x:v>
      </x:c>
      <x:c r="D3" t="n">
        <x:f>Alunos_Restrito!AI27</x:f>
        <x:v>16</x:v>
      </x:c>
      <x:c r="E3" t="n">
        <x:f>Alunos_Restrito!AN27</x:f>
        <x:v>1</x:v>
      </x:c>
      <x:c r="F3" t="n">
        <x:f>IF(COUNTIF($B$2:B3,B3)&lt;=IF(B3="1º ano",Metas!$G$4,Metas!$G$5),1,0)</x:f>
        <x:v>1</x:v>
      </x:c>
      <x:c r="G3" t="n">
        <x:f>E3*F3</x:f>
        <x:v>1</x:v>
      </x:c>
      <x:c r="H3" t="str">
        <x:v>Intermediário</x:v>
      </x:c>
    </x:row>
    <x:row r="4">
      <x:c r="A4" t="str">
        <x:v>1A020</x:v>
      </x:c>
      <x:c r="B4" t="str">
        <x:v>1º ano</x:v>
      </x:c>
      <x:c r="C4" t="str">
        <x:v>MARIA SOPHIA MARQUES SILVA</x:v>
      </x:c>
      <x:c r="D4" t="n">
        <x:f>Alunos_Restrito!AI41</x:f>
        <x:v>16</x:v>
      </x:c>
      <x:c r="E4" t="n">
        <x:f>Alunos_Restrito!AN41</x:f>
        <x:v>1</x:v>
      </x:c>
      <x:c r="F4" t="n">
        <x:f>IF(COUNTIF($B$2:B4,B4)&lt;=IF(B4="1º ano",Metas!$G$4,Metas!$G$5),1,0)</x:f>
        <x:v>1</x:v>
      </x:c>
      <x:c r="G4" t="n">
        <x:f>E4*F4</x:f>
        <x:v>1</x:v>
      </x:c>
      <x:c r="H4" t="str">
        <x:v>Intermediário</x:v>
      </x:c>
    </x:row>
    <x:row r="5">
      <x:c r="A5" t="str">
        <x:v>1A007</x:v>
      </x:c>
      <x:c r="B5" t="str">
        <x:v>1º ano</x:v>
      </x:c>
      <x:c r="C5" t="str">
        <x:v>ISABELLA MARTINS FEITOSA</x:v>
      </x:c>
      <x:c r="D5" t="n">
        <x:f>Alunos_Restrito!AI15</x:f>
        <x:v>15</x:v>
      </x:c>
      <x:c r="E5" t="n">
        <x:f>Alunos_Restrito!AN15</x:f>
        <x:v>2</x:v>
      </x:c>
      <x:c r="F5" t="n">
        <x:f>IF(COUNTIF($B$2:B5,B5)&lt;=IF(B5="1º ano",Metas!$G$4,Metas!$G$5),1,0)</x:f>
        <x:v>1</x:v>
      </x:c>
      <x:c r="G5" t="n">
        <x:f>E5*F5</x:f>
        <x:v>2</x:v>
      </x:c>
      <x:c r="H5" t="str">
        <x:v>Intermediário</x:v>
      </x:c>
    </x:row>
    <x:row r="6">
      <x:c r="A6" t="str">
        <x:v>1A009</x:v>
      </x:c>
      <x:c r="B6" t="str">
        <x:v>1º ano</x:v>
      </x:c>
      <x:c r="C6" t="str">
        <x:v>ISIS GOMES MESQUITA</x:v>
      </x:c>
      <x:c r="D6" t="n">
        <x:f>Alunos_Restrito!AI19</x:f>
        <x:v>15</x:v>
      </x:c>
      <x:c r="E6" t="n">
        <x:f>Alunos_Restrito!AN19</x:f>
        <x:v>2</x:v>
      </x:c>
      <x:c r="F6" t="n">
        <x:f>IF(COUNTIF($B$2:B6,B6)&lt;=IF(B6="1º ano",Metas!$G$4,Metas!$G$5),1,0)</x:f>
        <x:v>1</x:v>
      </x:c>
      <x:c r="G6" t="n">
        <x:f>E6*F6</x:f>
        <x:v>2</x:v>
      </x:c>
      <x:c r="H6" t="str">
        <x:v>Intermediário</x:v>
      </x:c>
    </x:row>
    <x:row r="7">
      <x:c r="A7" t="str">
        <x:v>1A011</x:v>
      </x:c>
      <x:c r="B7" t="str">
        <x:v>1º ano</x:v>
      </x:c>
      <x:c r="C7" t="str">
        <x:v>JOSE YHUDY BENICIO FERREIRA DE ANDRADE</x:v>
      </x:c>
      <x:c r="D7" t="n">
        <x:f>Alunos_Restrito!AI23</x:f>
        <x:v>15</x:v>
      </x:c>
      <x:c r="E7" t="n">
        <x:f>Alunos_Restrito!AN23</x:f>
        <x:v>2</x:v>
      </x:c>
      <x:c r="F7" t="n">
        <x:f>IF(COUNTIF($B$2:B7,B7)&lt;=IF(B7="1º ano",Metas!$G$4,Metas!$G$5),1,0)</x:f>
        <x:v>1</x:v>
      </x:c>
      <x:c r="G7" t="n">
        <x:f>E7*F7</x:f>
        <x:v>2</x:v>
      </x:c>
      <x:c r="H7" t="str">
        <x:v>Intermediário</x:v>
      </x:c>
    </x:row>
    <x:row r="8">
      <x:c r="A8" t="str">
        <x:v>1A019</x:v>
      </x:c>
      <x:c r="B8" t="str">
        <x:v>1º ano</x:v>
      </x:c>
      <x:c r="C8" t="str">
        <x:v>MARIA LETICIA MARTINS DA SILVA</x:v>
      </x:c>
      <x:c r="D8" t="n">
        <x:f>Alunos_Restrito!AI39</x:f>
        <x:v>15</x:v>
      </x:c>
      <x:c r="E8" t="n">
        <x:f>Alunos_Restrito!AN39</x:f>
        <x:v>2</x:v>
      </x:c>
      <x:c r="F8" t="n">
        <x:f>IF(COUNTIF($B$2:B8,B8)&lt;=IF(B8="1º ano",Metas!$G$4,Metas!$G$5),1,0)</x:f>
        <x:v>1</x:v>
      </x:c>
      <x:c r="G8" t="n">
        <x:f>E8*F8</x:f>
        <x:v>2</x:v>
      </x:c>
      <x:c r="H8" t="str">
        <x:v>Intermediário</x:v>
      </x:c>
    </x:row>
    <x:row r="9">
      <x:c r="A9" t="str">
        <x:v>1A002</x:v>
      </x:c>
      <x:c r="B9" t="str">
        <x:v>1º ano</x:v>
      </x:c>
      <x:c r="C9" t="str">
        <x:v>DANIEL CONCEICAO PIMENTEL</x:v>
      </x:c>
      <x:c r="D9" t="n">
        <x:f>Alunos_Restrito!AI5</x:f>
        <x:v>14</x:v>
      </x:c>
      <x:c r="E9" t="n">
        <x:f>Alunos_Restrito!AN5</x:f>
        <x:v>3</x:v>
      </x:c>
      <x:c r="F9" t="n">
        <x:f>IF(COUNTIF($B$2:B9,B9)&lt;=IF(B9="1º ano",Metas!$G$4,Metas!$G$5),1,0)</x:f>
        <x:v>1</x:v>
      </x:c>
      <x:c r="G9" t="n">
        <x:f>E9*F9</x:f>
        <x:v>3</x:v>
      </x:c>
      <x:c r="H9" t="str">
        <x:v>Intermediário</x:v>
      </x:c>
    </x:row>
    <x:row r="10">
      <x:c r="A10" t="str">
        <x:v>1A015</x:v>
      </x:c>
      <x:c r="B10" t="str">
        <x:v>1º ano</x:v>
      </x:c>
      <x:c r="C10" t="str">
        <x:v>MARIA AGATHA DE SOUSA NEVES</x:v>
      </x:c>
      <x:c r="D10" t="n">
        <x:f>Alunos_Restrito!AI31</x:f>
        <x:v>14</x:v>
      </x:c>
      <x:c r="E10" t="n">
        <x:f>Alunos_Restrito!AN31</x:f>
        <x:v>3</x:v>
      </x:c>
      <x:c r="F10" t="n">
        <x:f>IF(COUNTIF($B$2:B10,B10)&lt;=IF(B10="1º ano",Metas!$G$4,Metas!$G$5),1,0)</x:f>
        <x:v>1</x:v>
      </x:c>
      <x:c r="G10" t="n">
        <x:f>E10*F10</x:f>
        <x:v>3</x:v>
      </x:c>
      <x:c r="H10" t="str">
        <x:v>Intermediário</x:v>
      </x:c>
    </x:row>
    <x:row r="11">
      <x:c r="A11" t="str">
        <x:v>1A017</x:v>
      </x:c>
      <x:c r="B11" t="str">
        <x:v>1º ano</x:v>
      </x:c>
      <x:c r="C11" t="str">
        <x:v>MARIA ISIS PEREIRA GOMES</x:v>
      </x:c>
      <x:c r="D11" t="n">
        <x:f>Alunos_Restrito!AI35</x:f>
        <x:v>14</x:v>
      </x:c>
      <x:c r="E11" t="n">
        <x:f>Alunos_Restrito!AN35</x:f>
        <x:v>3</x:v>
      </x:c>
      <x:c r="F11" t="n">
        <x:f>IF(COUNTIF($B$2:B11,B11)&lt;=IF(B11="1º ano",Metas!$G$4,Metas!$G$5),1,0)</x:f>
        <x:v>1</x:v>
      </x:c>
      <x:c r="G11" t="n">
        <x:f>E11*F11</x:f>
        <x:v>3</x:v>
      </x:c>
      <x:c r="H11" t="str">
        <x:v>Intermediário</x:v>
      </x:c>
    </x:row>
    <x:row r="12">
      <x:c r="A12" t="str">
        <x:v>1A018</x:v>
      </x:c>
      <x:c r="B12" t="str">
        <x:v>1º ano</x:v>
      </x:c>
      <x:c r="C12" t="str">
        <x:v>MARIA JULIANA VIEIRA GOMES</x:v>
      </x:c>
      <x:c r="D12" t="n">
        <x:f>Alunos_Restrito!AI37</x:f>
        <x:v>14</x:v>
      </x:c>
      <x:c r="E12" t="n">
        <x:f>Alunos_Restrito!AN37</x:f>
        <x:v>3</x:v>
      </x:c>
      <x:c r="F12" t="n">
        <x:f>IF(COUNTIF($B$2:B12,B12)&lt;=IF(B12="1º ano",Metas!$G$4,Metas!$G$5),1,0)</x:f>
        <x:v>0</x:v>
      </x:c>
      <x:c r="G12" t="n">
        <x:f>E12*F12</x:f>
        <x:v>0</x:v>
      </x:c>
      <x:c r="H12" t="str">
        <x:v>Intermediário</x:v>
      </x:c>
    </x:row>
    <x:row r="13">
      <x:c r="A13" t="str">
        <x:v>1A021</x:v>
      </x:c>
      <x:c r="B13" t="str">
        <x:v>1º ano</x:v>
      </x:c>
      <x:c r="C13" t="str">
        <x:v>MARIA YORRANA OLIVEIRA ARAUJO</x:v>
      </x:c>
      <x:c r="D13" t="n">
        <x:f>Alunos_Restrito!AI43</x:f>
        <x:v>14</x:v>
      </x:c>
      <x:c r="E13" t="n">
        <x:f>Alunos_Restrito!AN43</x:f>
        <x:v>3</x:v>
      </x:c>
      <x:c r="F13" t="n">
        <x:f>IF(COUNTIF($B$2:B13,B13)&lt;=IF(B13="1º ano",Metas!$G$4,Metas!$G$5),1,0)</x:f>
        <x:v>0</x:v>
      </x:c>
      <x:c r="G13" t="n">
        <x:f>E13*F13</x:f>
        <x:v>0</x:v>
      </x:c>
      <x:c r="H13" t="str">
        <x:v>Intermediário</x:v>
      </x:c>
    </x:row>
    <x:row r="14">
      <x:c r="A14" t="str">
        <x:v>1A005</x:v>
      </x:c>
      <x:c r="B14" t="str">
        <x:v>1º ano</x:v>
      </x:c>
      <x:c r="C14" t="str">
        <x:v>GUSTAVO HENRIQUE MORENO DA SILVA</x:v>
      </x:c>
      <x:c r="D14" t="n">
        <x:f>Alunos_Restrito!AI11</x:f>
        <x:v>13</x:v>
      </x:c>
      <x:c r="E14" t="n">
        <x:f>Alunos_Restrito!AN11</x:f>
        <x:v>4</x:v>
      </x:c>
      <x:c r="F14" t="n">
        <x:f>IF(COUNTIF($B$2:B14,B14)&lt;=IF(B14="1º ano",Metas!$G$4,Metas!$G$5),1,0)</x:f>
        <x:v>0</x:v>
      </x:c>
      <x:c r="G14" t="n">
        <x:f>E14*F14</x:f>
        <x:v>0</x:v>
      </x:c>
      <x:c r="H14" t="str">
        <x:v>Intermediário</x:v>
      </x:c>
    </x:row>
    <x:row r="15">
      <x:c r="A15" t="str">
        <x:v>1A010</x:v>
      </x:c>
      <x:c r="B15" t="str">
        <x:v>1º ano</x:v>
      </x:c>
      <x:c r="C15" t="str">
        <x:v>ISIS KETLEN SOUSA DA SILVA</x:v>
      </x:c>
      <x:c r="D15" t="n">
        <x:f>Alunos_Restrito!AI21</x:f>
        <x:v>13</x:v>
      </x:c>
      <x:c r="E15" t="n">
        <x:f>Alunos_Restrito!AN21</x:f>
        <x:v>4</x:v>
      </x:c>
      <x:c r="F15" t="n">
        <x:f>IF(COUNTIF($B$2:B15,B15)&lt;=IF(B15="1º ano",Metas!$G$4,Metas!$G$5),1,0)</x:f>
        <x:v>0</x:v>
      </x:c>
      <x:c r="G15" t="n">
        <x:f>E15*F15</x:f>
        <x:v>0</x:v>
      </x:c>
      <x:c r="H15" t="str">
        <x:v>Intermediário</x:v>
      </x:c>
    </x:row>
    <x:row r="16">
      <x:c r="A16" t="str">
        <x:v>2A002</x:v>
      </x:c>
      <x:c r="B16" t="str">
        <x:v>2º ano</x:v>
      </x:c>
      <x:c r="C16" t="str">
        <x:v>ANA LYVIA DA SILVA NASCIMENTO</x:v>
      </x:c>
      <x:c r="D16" t="n">
        <x:f>Alunos_Restrito!AI53</x:f>
        <x:v>15</x:v>
      </x:c>
      <x:c r="E16" t="n">
        <x:f>Alunos_Restrito!AN53</x:f>
        <x:v>1</x:v>
      </x:c>
      <x:c r="F16" t="n">
        <x:f>IF(COUNTIF($B$2:B16,B16)&lt;=IF(B16="1º ano",Metas!$G$4,Metas!$G$5),1,0)</x:f>
        <x:v>1</x:v>
      </x:c>
      <x:c r="G16" t="n">
        <x:f>E16*F16</x:f>
        <x:v>1</x:v>
      </x:c>
      <x:c r="H16" t="str">
        <x:v>Intermediário</x:v>
      </x:c>
    </x:row>
    <x:row r="17">
      <x:c r="A17" t="str">
        <x:v>2A026</x:v>
      </x:c>
      <x:c r="B17" t="str">
        <x:v>2º ano</x:v>
      </x:c>
      <x:c r="C17" t="str">
        <x:v>PEDRO HENRIQUE LEITE DE SOUSA</x:v>
      </x:c>
      <x:c r="D17" t="n">
        <x:f>Alunos_Restrito!AI98</x:f>
        <x:v>15</x:v>
      </x:c>
      <x:c r="E17" t="n">
        <x:f>Alunos_Restrito!AN98</x:f>
        <x:v>1</x:v>
      </x:c>
      <x:c r="F17" t="n">
        <x:f>IF(COUNTIF($B$2:B17,B17)&lt;=IF(B17="1º ano",Metas!$G$4,Metas!$G$5),1,0)</x:f>
        <x:v>1</x:v>
      </x:c>
      <x:c r="G17" t="n">
        <x:f>E17*F17</x:f>
        <x:v>1</x:v>
      </x:c>
      <x:c r="H17" t="str">
        <x:v>Intermediário</x:v>
      </x:c>
    </x:row>
    <x:row r="18">
      <x:c r="A18" t="str">
        <x:v>2A006</x:v>
      </x:c>
      <x:c r="B18" t="str">
        <x:v>2º ano</x:v>
      </x:c>
      <x:c r="C18" t="str">
        <x:v>CECILIA AQUINO DE SOUSA</x:v>
      </x:c>
      <x:c r="D18" t="n">
        <x:f>Alunos_Restrito!AI61</x:f>
        <x:v>14</x:v>
      </x:c>
      <x:c r="E18" t="n">
        <x:f>Alunos_Restrito!AN61</x:f>
        <x:v>2</x:v>
      </x:c>
      <x:c r="F18" t="n">
        <x:f>IF(COUNTIF($B$2:B18,B18)&lt;=IF(B18="1º ano",Metas!$G$4,Metas!$G$5),1,0)</x:f>
        <x:v>1</x:v>
      </x:c>
      <x:c r="G18" t="n">
        <x:f>E18*F18</x:f>
        <x:v>2</x:v>
      </x:c>
      <x:c r="H18" t="str">
        <x:v>Intermediário</x:v>
      </x:c>
    </x:row>
    <x:row r="19">
      <x:c r="A19" t="str">
        <x:v>2A017</x:v>
      </x:c>
      <x:c r="B19" t="str">
        <x:v>2º ano</x:v>
      </x:c>
      <x:c r="C19" t="str">
        <x:v>JOSE BRENO DA SILVA GOMES</x:v>
      </x:c>
      <x:c r="D19" t="n">
        <x:f>Alunos_Restrito!AI81</x:f>
        <x:v>11</x:v>
      </x:c>
      <x:c r="E19" t="n">
        <x:f>Alunos_Restrito!AN81</x:f>
        <x:v>5</x:v>
      </x:c>
      <x:c r="F19" t="n">
        <x:f>IF(COUNTIF($B$2:B19,B19)&lt;=IF(B19="1º ano",Metas!$G$4,Metas!$G$5),1,0)</x:f>
        <x:v>1</x:v>
      </x:c>
      <x:c r="G19" t="n">
        <x:f>E19*F19</x:f>
        <x:v>5</x:v>
      </x:c>
      <x:c r="H19" t="str">
        <x:v>Defasagem</x:v>
      </x:c>
    </x:row>
    <x:row r="20">
      <x:c r="A20" t="str">
        <x:v>2A016</x:v>
      </x:c>
      <x:c r="B20" t="str">
        <x:v>2º ano</x:v>
      </x:c>
      <x:c r="C20" t="str">
        <x:v>JOAO MATHEUS RODRIGUES MOREIRA</x:v>
      </x:c>
      <x:c r="D20" t="n">
        <x:f>Alunos_Restrito!AI79</x:f>
        <x:v>10</x:v>
      </x:c>
      <x:c r="E20" t="n">
        <x:f>Alunos_Restrito!AN79</x:f>
        <x:v>6</x:v>
      </x:c>
      <x:c r="F20" t="n">
        <x:f>IF(COUNTIF($B$2:B20,B20)&lt;=IF(B20="1º ano",Metas!$G$4,Metas!$G$5),1,0)</x:f>
        <x:v>1</x:v>
      </x:c>
      <x:c r="G20" t="n">
        <x:f>E20*F20</x:f>
        <x:v>6</x:v>
      </x:c>
      <x:c r="H20" t="str">
        <x:v>Defasagem</x:v>
      </x:c>
    </x:row>
    <x:row r="21">
      <x:c r="A21" t="str">
        <x:v>2A020</x:v>
      </x:c>
      <x:c r="B21" t="str">
        <x:v>2º ano</x:v>
      </x:c>
      <x:c r="C21" t="str">
        <x:v>MARIA ISABELA MACIEL FONTELE</x:v>
      </x:c>
      <x:c r="D21" t="n">
        <x:f>Alunos_Restrito!AI86</x:f>
        <x:v>10</x:v>
      </x:c>
      <x:c r="E21" t="n">
        <x:f>Alunos_Restrito!AN86</x:f>
        <x:v>6</x:v>
      </x:c>
      <x:c r="F21" t="n">
        <x:f>IF(COUNTIF($B$2:B21,B21)&lt;=IF(B21="1º ano",Metas!$G$4,Metas!$G$5),1,0)</x:f>
        <x:v>0</x:v>
      </x:c>
      <x:c r="G21" t="n">
        <x:f>E21*F21</x:f>
        <x:v>0</x:v>
      </x:c>
      <x:c r="H21" t="str">
        <x:v>Defasagem</x:v>
      </x:c>
    </x:row>
    <x:row r="22">
      <x:c r="A22" t="str">
        <x:v>2A005</x:v>
      </x:c>
      <x:c r="B22" t="str">
        <x:v>2º ano</x:v>
      </x:c>
      <x:c r="C22" t="str">
        <x:v>ANTONIO SAMUEL DE OLIVEIRA VERAS</x:v>
      </x:c>
      <x:c r="D22" t="n">
        <x:f>Alunos_Restrito!AI59</x:f>
        <x:v>5</x:v>
      </x:c>
      <x:c r="E22" t="n">
        <x:f>Alunos_Restrito!AN59</x:f>
        <x:v>11</x:v>
      </x:c>
      <x:c r="F22" t="n">
        <x:f>IF(COUNTIF($B$2:B22,B22)&lt;=IF(B22="1º ano",Metas!$G$4,Metas!$G$5),1,0)</x:f>
        <x:v>0</x:v>
      </x:c>
      <x:c r="G22" t="n">
        <x:f>E22*F22</x:f>
        <x:v>0</x:v>
      </x:c>
      <x:c r="H22" t="str">
        <x:v>Defasagem</x:v>
      </x:c>
    </x:row>
    <x:row r="23">
      <x:c r="A23" t="str">
        <x:v>2A019</x:v>
      </x:c>
      <x:c r="B23" t="str">
        <x:v>2º ano</x:v>
      </x:c>
      <x:c r="C23" t="str">
        <x:v>MARCELO DAVI UCHOA FERREIRA</x:v>
      </x:c>
      <x:c r="D23" t="n">
        <x:f>Alunos_Restrito!AI85</x:f>
        <x:v>0</x:v>
      </x:c>
      <x:c r="E23" t="n">
        <x:f>Alunos_Restrito!AN85</x:f>
        <x:v>16</x:v>
      </x:c>
      <x:c r="F23" t="n">
        <x:f>IF(COUNTIF($B$2:B23,B23)&lt;=IF(B23="1º ano",Metas!$G$4,Metas!$G$5),1,0)</x:f>
        <x:v>0</x:v>
      </x:c>
      <x:c r="G23" t="n">
        <x:f>E23*F23</x:f>
        <x:v>0</x:v>
      </x:c>
      <x:c r="H23" t="str">
        <x:v>Defasagem</x:v>
      </x:c>
    </x:row>
    <x:row r="24">
      <x:c r="A24" t="str">
        <x:v>2A024</x:v>
      </x:c>
      <x:c r="B24" t="str">
        <x:v>2º ano</x:v>
      </x:c>
      <x:c r="C24" t="str">
        <x:v>MIGUEL ALBERTO UCHOA FERREIRA</x:v>
      </x:c>
      <x:c r="D24" t="n">
        <x:f>Alunos_Restrito!AI94</x:f>
        <x:v>0</x:v>
      </x:c>
      <x:c r="E24" t="n">
        <x:f>Alunos_Restrito!AN94</x:f>
        <x:v>16</x:v>
      </x:c>
      <x:c r="F24" t="n">
        <x:f>IF(COUNTIF($B$2:B24,B24)&lt;=IF(B24="1º ano",Metas!$G$4,Metas!$G$5),1,0)</x:f>
        <x:v>0</x:v>
      </x:c>
      <x:c r="G24" t="n">
        <x:f>E24*F24</x:f>
        <x:v>0</x:v>
      </x:c>
      <x:c r="H24" t="str">
        <x:v>Defasagem</x:v>
      </x:c>
    </x:row>
    <x:row r="25">
      <x:c r="A25" t="str">
        <x:v>2A029</x:v>
      </x:c>
      <x:c r="B25" t="str">
        <x:v>2º ano</x:v>
      </x:c>
      <x:c r="C25" t="str">
        <x:v>THEO MANOEL RODRIGUES RIBEIRO</x:v>
      </x:c>
      <x:c r="D25" t="n">
        <x:f>Alunos_Restrito!AI103</x:f>
        <x:v>0</x:v>
      </x:c>
      <x:c r="E25" t="n">
        <x:f>Alunos_Restrito!AN103</x:f>
        <x:v>16</x:v>
      </x:c>
      <x:c r="F25" t="n">
        <x:f>IF(COUNTIF($B$2:B25,B25)&lt;=IF(B25="1º ano",Metas!$G$4,Metas!$G$5),1,0)</x:f>
        <x:v>0</x:v>
      </x:c>
      <x:c r="G25" t="n">
        <x:f>E25*F25</x:f>
        <x:v>0</x:v>
      </x:c>
      <x:c r="H25" t="str">
        <x:v>Defasagem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40" hidden="0" customWidth="1"/>
  </x:cols>
  <x:sheetData>
    <x:row r="1" ht="32" customHeight="1">
      <x:c r="A1" s="8" t="str">
        <x:v>Ano</x:v>
      </x:c>
      <x:c r="B1" s="8" t="str">
        <x:v>Acertos hipotéticos extras/aluno</x:v>
      </x:c>
      <x:c r="C1" s="8" t="str">
        <x:v>Adequados simulados</x:v>
      </x:c>
      <x:c r="D1" s="8" t="str">
        <x:v>N (contra)</x:v>
      </x:c>
      <x:c r="E1" s="8" t="str">
        <x:v>% simulado</x:v>
      </x:c>
      <x:c r="F1" s="8" t="str">
        <x:v>Atinge 80%?</x:v>
      </x:c>
      <x:c r="G1" s="8" t="str">
        <x:v>Tipo</x:v>
      </x:c>
    </x:row>
    <x:row r="2">
      <x:c r="A2" t="str">
        <x:v>1º ano</x:v>
      </x:c>
      <x:c r="B2" t="n">
        <x:v>0</x:v>
      </x:c>
      <x:c r="C2" t="n">
        <x:f>COUNTIFS(Alunos_Restrito!$C$2:$C$103,A2,Alunos_Restrito!$D$2:$D$103,"contraprova",Alunos_Restrito!$AI$2:$AI$103,"&gt;="&amp;(IF(A2="1º ano",Parametros!$B$5,Parametros!$B$7)-B2))</x:f>
        <x:v>10</x:v>
      </x:c>
      <x:c r="D2" t="n">
        <x:f>COUNTIFS(Alunos_Restrito!$C$2:$C$103,A2,Alunos_Restrito!$D$2:$D$103,"contraprova")</x:f>
        <x:v>24</x:v>
      </x:c>
      <x:c r="E2" s="2" t="n">
        <x:f>IFERROR(C2/D2,0)</x:f>
        <x:v>0.4166666666666667</x:v>
      </x:c>
      <x:c r="F2" t="str">
        <x:f>IF(C2&gt;=ROUNDUP(D2*Parametros!$B$10,0),"SIM","NÃO")</x:f>
        <x:v>NÃO</x:v>
      </x:c>
      <x:c r="G2" t="str">
        <x:v>Sensibilidade, NÃO previsão calibrada</x:v>
      </x:c>
    </x:row>
    <x:row r="3">
      <x:c r="A3" t="str">
        <x:v>1º ano</x:v>
      </x:c>
      <x:c r="B3" t="n">
        <x:v>1</x:v>
      </x:c>
      <x:c r="C3" t="n">
        <x:f>COUNTIFS(Alunos_Restrito!$C$2:$C$103,A3,Alunos_Restrito!$D$2:$D$103,"contraprova",Alunos_Restrito!$AI$2:$AI$103,"&gt;="&amp;(IF(A3="1º ano",Parametros!$B$5,Parametros!$B$7)-B3))</x:f>
        <x:v>13</x:v>
      </x:c>
      <x:c r="D3" t="n">
        <x:f>COUNTIFS(Alunos_Restrito!$C$2:$C$103,A3,Alunos_Restrito!$D$2:$D$103,"contraprova")</x:f>
        <x:v>24</x:v>
      </x:c>
      <x:c r="E3" s="2" t="n">
        <x:f>IFERROR(C3/D3,0)</x:f>
        <x:v>0.5416666666666666</x:v>
      </x:c>
      <x:c r="F3" t="str">
        <x:f>IF(C3&gt;=ROUNDUP(D3*Parametros!$B$10,0),"SIM","NÃO")</x:f>
        <x:v>NÃO</x:v>
      </x:c>
      <x:c r="G3" t="str">
        <x:v>Sensibilidade, NÃO previsão calibrada</x:v>
      </x:c>
    </x:row>
    <x:row r="4">
      <x:c r="A4" t="str">
        <x:v>1º ano</x:v>
      </x:c>
      <x:c r="B4" t="n">
        <x:v>2</x:v>
      </x:c>
      <x:c r="C4" t="n">
        <x:f>COUNTIFS(Alunos_Restrito!$C$2:$C$103,A4,Alunos_Restrito!$D$2:$D$103,"contraprova",Alunos_Restrito!$AI$2:$AI$103,"&gt;="&amp;(IF(A4="1º ano",Parametros!$B$5,Parametros!$B$7)-B4))</x:f>
        <x:v>17</x:v>
      </x:c>
      <x:c r="D4" t="n">
        <x:f>COUNTIFS(Alunos_Restrito!$C$2:$C$103,A4,Alunos_Restrito!$D$2:$D$103,"contraprova")</x:f>
        <x:v>24</x:v>
      </x:c>
      <x:c r="E4" s="2" t="n">
        <x:f>IFERROR(C4/D4,0)</x:f>
        <x:v>0.7083333333333334</x:v>
      </x:c>
      <x:c r="F4" t="str">
        <x:f>IF(C4&gt;=ROUNDUP(D4*Parametros!$B$10,0),"SIM","NÃO")</x:f>
        <x:v>NÃO</x:v>
      </x:c>
      <x:c r="G4" t="str">
        <x:v>Sensibilidade, NÃO previsão calibrada</x:v>
      </x:c>
    </x:row>
    <x:row r="5">
      <x:c r="A5" t="str">
        <x:v>1º ano</x:v>
      </x:c>
      <x:c r="B5" t="n">
        <x:v>3</x:v>
      </x:c>
      <x:c r="C5" t="n">
        <x:f>COUNTIFS(Alunos_Restrito!$C$2:$C$103,A5,Alunos_Restrito!$D$2:$D$103,"contraprova",Alunos_Restrito!$AI$2:$AI$103,"&gt;="&amp;(IF(A5="1º ano",Parametros!$B$5,Parametros!$B$7)-B5))</x:f>
        <x:v>22</x:v>
      </x:c>
      <x:c r="D5" t="n">
        <x:f>COUNTIFS(Alunos_Restrito!$C$2:$C$103,A5,Alunos_Restrito!$D$2:$D$103,"contraprova")</x:f>
        <x:v>24</x:v>
      </x:c>
      <x:c r="E5" s="2" t="n">
        <x:f>IFERROR(C5/D5,0)</x:f>
        <x:v>0.9166666666666666</x:v>
      </x:c>
      <x:c r="F5" t="str">
        <x:f>IF(C5&gt;=ROUNDUP(D5*Parametros!$B$10,0),"SIM","NÃO")</x:f>
        <x:v>SIM</x:v>
      </x:c>
      <x:c r="G5" t="str">
        <x:v>Sensibilidade, NÃO previsão calibrada</x:v>
      </x:c>
    </x:row>
    <x:row r="6">
      <x:c r="A6" t="str">
        <x:v>1º ano</x:v>
      </x:c>
      <x:c r="B6" t="n">
        <x:v>4</x:v>
      </x:c>
      <x:c r="C6" t="n">
        <x:f>COUNTIFS(Alunos_Restrito!$C$2:$C$103,A6,Alunos_Restrito!$D$2:$D$103,"contraprova",Alunos_Restrito!$AI$2:$AI$103,"&gt;="&amp;(IF(A6="1º ano",Parametros!$B$5,Parametros!$B$7)-B6))</x:f>
        <x:v>24</x:v>
      </x:c>
      <x:c r="D6" t="n">
        <x:f>COUNTIFS(Alunos_Restrito!$C$2:$C$103,A6,Alunos_Restrito!$D$2:$D$103,"contraprova")</x:f>
        <x:v>24</x:v>
      </x:c>
      <x:c r="E6" s="2" t="n">
        <x:f>IFERROR(C6/D6,0)</x:f>
        <x:v>1</x:v>
      </x:c>
      <x:c r="F6" t="str">
        <x:f>IF(C6&gt;=ROUNDUP(D6*Parametros!$B$10,0),"SIM","NÃO")</x:f>
        <x:v>SIM</x:v>
      </x:c>
      <x:c r="G6" t="str">
        <x:v>Sensibilidade, NÃO previsão calibrada</x:v>
      </x:c>
    </x:row>
    <x:row r="7">
      <x:c r="A7" t="str">
        <x:v>1º ano</x:v>
      </x:c>
      <x:c r="B7" t="n">
        <x:v>5</x:v>
      </x:c>
      <x:c r="C7" t="n">
        <x:f>COUNTIFS(Alunos_Restrito!$C$2:$C$103,A7,Alunos_Restrito!$D$2:$D$103,"contraprova",Alunos_Restrito!$AI$2:$AI$103,"&gt;="&amp;(IF(A7="1º ano",Parametros!$B$5,Parametros!$B$7)-B7))</x:f>
        <x:v>24</x:v>
      </x:c>
      <x:c r="D7" t="n">
        <x:f>COUNTIFS(Alunos_Restrito!$C$2:$C$103,A7,Alunos_Restrito!$D$2:$D$103,"contraprova")</x:f>
        <x:v>24</x:v>
      </x:c>
      <x:c r="E7" s="2" t="n">
        <x:f>IFERROR(C7/D7,0)</x:f>
        <x:v>1</x:v>
      </x:c>
      <x:c r="F7" t="str">
        <x:f>IF(C7&gt;=ROUNDUP(D7*Parametros!$B$10,0),"SIM","NÃO")</x:f>
        <x:v>SIM</x:v>
      </x:c>
      <x:c r="G7" t="str">
        <x:v>Sensibilidade, NÃO previsão calibrada</x:v>
      </x:c>
    </x:row>
    <x:row r="8">
      <x:c r="A8" t="str">
        <x:v>1º ano</x:v>
      </x:c>
      <x:c r="B8" t="n">
        <x:v>6</x:v>
      </x:c>
      <x:c r="C8" t="n">
        <x:f>COUNTIFS(Alunos_Restrito!$C$2:$C$103,A8,Alunos_Restrito!$D$2:$D$103,"contraprova",Alunos_Restrito!$AI$2:$AI$103,"&gt;="&amp;(IF(A8="1º ano",Parametros!$B$5,Parametros!$B$7)-B8))</x:f>
        <x:v>24</x:v>
      </x:c>
      <x:c r="D8" t="n">
        <x:f>COUNTIFS(Alunos_Restrito!$C$2:$C$103,A8,Alunos_Restrito!$D$2:$D$103,"contraprova")</x:f>
        <x:v>24</x:v>
      </x:c>
      <x:c r="E8" s="2" t="n">
        <x:f>IFERROR(C8/D8,0)</x:f>
        <x:v>1</x:v>
      </x:c>
      <x:c r="F8" t="str">
        <x:f>IF(C8&gt;=ROUNDUP(D8*Parametros!$B$10,0),"SIM","NÃO")</x:f>
        <x:v>SIM</x:v>
      </x:c>
      <x:c r="G8" t="str">
        <x:v>Sensibilidade, NÃO previsão calibrada</x:v>
      </x:c>
    </x:row>
    <x:row r="9">
      <x:c r="A9" t="str">
        <x:v>2º ano</x:v>
      </x:c>
      <x:c r="B9" t="n">
        <x:v>0</x:v>
      </x:c>
      <x:c r="C9" t="n">
        <x:f>COUNTIFS(Alunos_Restrito!$C$2:$C$103,A9,Alunos_Restrito!$D$2:$D$103,"contraprova",Alunos_Restrito!$AI$2:$AI$103,"&gt;="&amp;(IF(A9="1º ano",Parametros!$B$5,Parametros!$B$7)-B9))</x:f>
        <x:v>18</x:v>
      </x:c>
      <x:c r="D9" t="n">
        <x:f>COUNTIFS(Alunos_Restrito!$C$2:$C$103,A9,Alunos_Restrito!$D$2:$D$103,"contraprova")</x:f>
        <x:v>28</x:v>
      </x:c>
      <x:c r="E9" s="2" t="n">
        <x:f>IFERROR(C9/D9,0)</x:f>
        <x:v>0.6428571428571429</x:v>
      </x:c>
      <x:c r="F9" t="str">
        <x:f>IF(C9&gt;=ROUNDUP(D9*Parametros!$B$10,0),"SIM","NÃO")</x:f>
        <x:v>NÃO</x:v>
      </x:c>
      <x:c r="G9" t="str">
        <x:v>Sensibilidade, NÃO previsão calibrada</x:v>
      </x:c>
    </x:row>
    <x:row r="10">
      <x:c r="A10" t="str">
        <x:v>2º ano</x:v>
      </x:c>
      <x:c r="B10" t="n">
        <x:v>1</x:v>
      </x:c>
      <x:c r="C10" t="n">
        <x:f>COUNTIFS(Alunos_Restrito!$C$2:$C$103,A10,Alunos_Restrito!$D$2:$D$103,"contraprova",Alunos_Restrito!$AI$2:$AI$103,"&gt;="&amp;(IF(A10="1º ano",Parametros!$B$5,Parametros!$B$7)-B10))</x:f>
        <x:v>20</x:v>
      </x:c>
      <x:c r="D10" t="n">
        <x:f>COUNTIFS(Alunos_Restrito!$C$2:$C$103,A10,Alunos_Restrito!$D$2:$D$103,"contraprova")</x:f>
        <x:v>28</x:v>
      </x:c>
      <x:c r="E10" s="2" t="n">
        <x:f>IFERROR(C10/D10,0)</x:f>
        <x:v>0.7142857142857143</x:v>
      </x:c>
      <x:c r="F10" t="str">
        <x:f>IF(C10&gt;=ROUNDUP(D10*Parametros!$B$10,0),"SIM","NÃO")</x:f>
        <x:v>NÃO</x:v>
      </x:c>
      <x:c r="G10" t="str">
        <x:v>Sensibilidade, NÃO previsão calibrada</x:v>
      </x:c>
    </x:row>
    <x:row r="11">
      <x:c r="A11" t="str">
        <x:v>2º ano</x:v>
      </x:c>
      <x:c r="B11" t="n">
        <x:v>2</x:v>
      </x:c>
      <x:c r="C11" t="n">
        <x:f>COUNTIFS(Alunos_Restrito!$C$2:$C$103,A11,Alunos_Restrito!$D$2:$D$103,"contraprova",Alunos_Restrito!$AI$2:$AI$103,"&gt;="&amp;(IF(A11="1º ano",Parametros!$B$5,Parametros!$B$7)-B11))</x:f>
        <x:v>21</x:v>
      </x:c>
      <x:c r="D11" t="n">
        <x:f>COUNTIFS(Alunos_Restrito!$C$2:$C$103,A11,Alunos_Restrito!$D$2:$D$103,"contraprova")</x:f>
        <x:v>28</x:v>
      </x:c>
      <x:c r="E11" s="2" t="n">
        <x:f>IFERROR(C11/D11,0)</x:f>
        <x:v>0.75</x:v>
      </x:c>
      <x:c r="F11" t="str">
        <x:f>IF(C11&gt;=ROUNDUP(D11*Parametros!$B$10,0),"SIM","NÃO")</x:f>
        <x:v>NÃO</x:v>
      </x:c>
      <x:c r="G11" t="str">
        <x:v>Sensibilidade, NÃO previsão calibrada</x:v>
      </x:c>
    </x:row>
    <x:row r="12">
      <x:c r="A12" t="str">
        <x:v>2º ano</x:v>
      </x:c>
      <x:c r="B12" t="n">
        <x:v>3</x:v>
      </x:c>
      <x:c r="C12" t="n">
        <x:f>COUNTIFS(Alunos_Restrito!$C$2:$C$103,A12,Alunos_Restrito!$D$2:$D$103,"contraprova",Alunos_Restrito!$AI$2:$AI$103,"&gt;="&amp;(IF(A12="1º ano",Parametros!$B$5,Parametros!$B$7)-B12))</x:f>
        <x:v>21</x:v>
      </x:c>
      <x:c r="D12" t="n">
        <x:f>COUNTIFS(Alunos_Restrito!$C$2:$C$103,A12,Alunos_Restrito!$D$2:$D$103,"contraprova")</x:f>
        <x:v>28</x:v>
      </x:c>
      <x:c r="E12" s="2" t="n">
        <x:f>IFERROR(C12/D12,0)</x:f>
        <x:v>0.75</x:v>
      </x:c>
      <x:c r="F12" t="str">
        <x:f>IF(C12&gt;=ROUNDUP(D12*Parametros!$B$10,0),"SIM","NÃO")</x:f>
        <x:v>NÃO</x:v>
      </x:c>
      <x:c r="G12" t="str">
        <x:v>Sensibilidade, NÃO previsão calibrada</x:v>
      </x:c>
    </x:row>
    <x:row r="13">
      <x:c r="A13" t="str">
        <x:v>2º ano</x:v>
      </x:c>
      <x:c r="B13" t="n">
        <x:v>4</x:v>
      </x:c>
      <x:c r="C13" t="n">
        <x:f>COUNTIFS(Alunos_Restrito!$C$2:$C$103,A13,Alunos_Restrito!$D$2:$D$103,"contraprova",Alunos_Restrito!$AI$2:$AI$103,"&gt;="&amp;(IF(A13="1º ano",Parametros!$B$5,Parametros!$B$7)-B13))</x:f>
        <x:v>21</x:v>
      </x:c>
      <x:c r="D13" t="n">
        <x:f>COUNTIFS(Alunos_Restrito!$C$2:$C$103,A13,Alunos_Restrito!$D$2:$D$103,"contraprova")</x:f>
        <x:v>28</x:v>
      </x:c>
      <x:c r="E13" s="2" t="n">
        <x:f>IFERROR(C13/D13,0)</x:f>
        <x:v>0.75</x:v>
      </x:c>
      <x:c r="F13" t="str">
        <x:f>IF(C13&gt;=ROUNDUP(D13*Parametros!$B$10,0),"SIM","NÃO")</x:f>
        <x:v>NÃO</x:v>
      </x:c>
      <x:c r="G13" t="str">
        <x:v>Sensibilidade, NÃO previsão calibrada</x:v>
      </x:c>
    </x:row>
    <x:row r="14">
      <x:c r="A14" t="str">
        <x:v>2º ano</x:v>
      </x:c>
      <x:c r="B14" t="n">
        <x:v>5</x:v>
      </x:c>
      <x:c r="C14" t="n">
        <x:f>COUNTIFS(Alunos_Restrito!$C$2:$C$103,A14,Alunos_Restrito!$D$2:$D$103,"contraprova",Alunos_Restrito!$AI$2:$AI$103,"&gt;="&amp;(IF(A14="1º ano",Parametros!$B$5,Parametros!$B$7)-B14))</x:f>
        <x:v>22</x:v>
      </x:c>
      <x:c r="D14" t="n">
        <x:f>COUNTIFS(Alunos_Restrito!$C$2:$C$103,A14,Alunos_Restrito!$D$2:$D$103,"contraprova")</x:f>
        <x:v>28</x:v>
      </x:c>
      <x:c r="E14" s="2" t="n">
        <x:f>IFERROR(C14/D14,0)</x:f>
        <x:v>0.7857142857142857</x:v>
      </x:c>
      <x:c r="F14" t="str">
        <x:f>IF(C14&gt;=ROUNDUP(D14*Parametros!$B$10,0),"SIM","NÃO")</x:f>
        <x:v>NÃO</x:v>
      </x:c>
      <x:c r="G14" t="str">
        <x:v>Sensibilidade, NÃO previsão calibrada</x:v>
      </x:c>
    </x:row>
    <x:row r="15">
      <x:c r="A15" t="str">
        <x:v>2º ano</x:v>
      </x:c>
      <x:c r="B15" t="n">
        <x:v>6</x:v>
      </x:c>
      <x:c r="C15" t="n">
        <x:f>COUNTIFS(Alunos_Restrito!$C$2:$C$103,A15,Alunos_Restrito!$D$2:$D$103,"contraprova",Alunos_Restrito!$AI$2:$AI$103,"&gt;="&amp;(IF(A15="1º ano",Parametros!$B$5,Parametros!$B$7)-B15))</x:f>
        <x:v>24</x:v>
      </x:c>
      <x:c r="D15" t="n">
        <x:f>COUNTIFS(Alunos_Restrito!$C$2:$C$103,A15,Alunos_Restrito!$D$2:$D$103,"contraprova")</x:f>
        <x:v>28</x:v>
      </x:c>
      <x:c r="E15" s="2" t="n">
        <x:f>IFERROR(C15/D15,0)</x:f>
        <x:v>0.8571428571428571</x:v>
      </x:c>
      <x:c r="F15" t="str">
        <x:f>IF(C15&gt;=ROUNDUP(D15*Parametros!$B$10,0),"SIM","NÃO")</x:f>
        <x:v>SIM</x:v>
      </x:c>
      <x:c r="G15" t="str">
        <x:v>Sensibilidade, NÃO previsão calibrada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38" hidden="0" customWidth="1"/>
  </x:cols>
  <x:sheetData>
    <x:row r="1" ht="32" customHeight="1">
      <x:c r="A1" s="8" t="str">
        <x:v>Ano</x:v>
      </x:c>
      <x:c r="B1" s="8" t="str">
        <x:v>Aplicacao</x:v>
      </x:c>
      <x:c r="C1" s="8" t="str">
        <x:v>Habilidade</x:v>
      </x:c>
      <x:c r="D1" s="8" t="str">
        <x:v>Estudantes</x:v>
      </x:c>
      <x:c r="E1" s="8" t="str">
        <x:v>Acertos</x:v>
      </x:c>
      <x:c r="F1" s="8" t="str">
        <x:v>Total itens</x:v>
      </x:c>
      <x:c r="G1" s="8" t="str">
        <x:v>Erros_calc</x:v>
      </x:c>
      <x:c r="H1" s="8" t="str">
        <x:v>Taxa_calc</x:v>
      </x:c>
      <x:c r="I1" s="8" t="str">
        <x:v>% oficial</x:v>
      </x:c>
      <x:c r="J1" s="8" t="str">
        <x:v>r com Adequado*</x:v>
      </x:c>
      <x:c r="K1" s="8" t="str">
        <x:v>ZIP</x:v>
      </x:c>
    </x:row>
    <x:row r="2">
      <x:c r="A2" t="str">
        <x:v>1º ano</x:v>
      </x:c>
      <x:c r="B2" t="str">
        <x:v>referencia</x:v>
      </x:c>
      <x:c r="C2" t="str">
        <x:v>H01</x:v>
      </x:c>
      <x:c r="D2" t="n">
        <x:v>24</x:v>
      </x:c>
      <x:c r="E2" t="n">
        <x:v>49</x:v>
      </x:c>
      <x:c r="F2" t="n">
        <x:v>72</x:v>
      </x:c>
      <x:c r="G2" t="n">
        <x:f>F2-E2</x:f>
        <x:v>23</x:v>
      </x:c>
      <x:c r="H2" s="2" t="n">
        <x:f>IFERROR(E2/F2,0)</x:f>
        <x:v>0.6805555555555556</x:v>
      </x:c>
      <x:c r="I2" s="2" t="n">
        <x:v>0.68</x:v>
      </x:c>
      <x:c r="J2" s="4" t="n">
        <x:v>0.5116872112568703</x:v>
      </x:c>
      <x:c r="K2" t="str">
        <x:v>CAEd_DadosExportados.zip</x:v>
      </x:c>
    </x:row>
    <x:row r="3">
      <x:c r="A3" t="str">
        <x:v>1º ano</x:v>
      </x:c>
      <x:c r="B3" t="str">
        <x:v>referencia</x:v>
      </x:c>
      <x:c r="C3" t="str">
        <x:v>H02</x:v>
      </x:c>
      <x:c r="D3" t="n">
        <x:v>24</x:v>
      </x:c>
      <x:c r="E3" t="n">
        <x:v>60</x:v>
      </x:c>
      <x:c r="F3" t="n">
        <x:v>72</x:v>
      </x:c>
      <x:c r="G3" t="n">
        <x:f>F3-E3</x:f>
        <x:v>12</x:v>
      </x:c>
      <x:c r="H3" s="2" t="n">
        <x:f>IFERROR(E3/F3,0)</x:f>
        <x:v>0.8333333333333334</x:v>
      </x:c>
      <x:c r="I3" s="2" t="n">
        <x:v>0.83</x:v>
      </x:c>
      <x:c r="J3" s="4" t="n">
        <x:v>0.29277002188455997</x:v>
      </x:c>
      <x:c r="K3" t="str">
        <x:v>CAEd_DadosExportados.zip</x:v>
      </x:c>
    </x:row>
    <x:row r="4">
      <x:c r="A4" t="str">
        <x:v>1º ano</x:v>
      </x:c>
      <x:c r="B4" t="str">
        <x:v>referencia</x:v>
      </x:c>
      <x:c r="C4" t="str">
        <x:v>H03</x:v>
      </x:c>
      <x:c r="D4" t="n">
        <x:v>24</x:v>
      </x:c>
      <x:c r="E4" t="n">
        <x:v>53</x:v>
      </x:c>
      <x:c r="F4" t="n">
        <x:v>72</x:v>
      </x:c>
      <x:c r="G4" t="n">
        <x:f>F4-E4</x:f>
        <x:v>19</x:v>
      </x:c>
      <x:c r="H4" s="2" t="n">
        <x:f>IFERROR(E4/F4,0)</x:f>
        <x:v>0.7361111111111112</x:v>
      </x:c>
      <x:c r="I4" s="2" t="n">
        <x:v>0.74</x:v>
      </x:c>
      <x:c r="J4" s="4" t="n">
        <x:v>0.5943608606016892</x:v>
      </x:c>
      <x:c r="K4" t="str">
        <x:v>CAEd_DadosExportados.zip</x:v>
      </x:c>
    </x:row>
    <x:row r="5">
      <x:c r="A5" t="str">
        <x:v>1º ano</x:v>
      </x:c>
      <x:c r="B5" t="str">
        <x:v>referencia</x:v>
      </x:c>
      <x:c r="C5" t="str">
        <x:v>H04</x:v>
      </x:c>
      <x:c r="D5" t="n">
        <x:v>24</x:v>
      </x:c>
      <x:c r="E5" t="n">
        <x:v>37</x:v>
      </x:c>
      <x:c r="F5" t="n">
        <x:v>72</x:v>
      </x:c>
      <x:c r="G5" t="n">
        <x:f>F5-E5</x:f>
        <x:v>35</x:v>
      </x:c>
      <x:c r="H5" s="2" t="n">
        <x:f>IFERROR(E5/F5,0)</x:f>
        <x:v>0.5138888888888888</x:v>
      </x:c>
      <x:c r="I5" s="2" t="n">
        <x:v>0.51</x:v>
      </x:c>
      <x:c r="J5" s="4" t="n">
        <x:v>0.6273675653967148</x:v>
      </x:c>
      <x:c r="K5" t="str">
        <x:v>CAEd_DadosExportados.zip</x:v>
      </x:c>
    </x:row>
    <x:row r="6">
      <x:c r="A6" t="str">
        <x:v>1º ano</x:v>
      </x:c>
      <x:c r="B6" t="str">
        <x:v>referencia</x:v>
      </x:c>
      <x:c r="C6" t="str">
        <x:v>H05</x:v>
      </x:c>
      <x:c r="D6" t="n">
        <x:v>24</x:v>
      </x:c>
      <x:c r="E6" t="n">
        <x:v>69</x:v>
      </x:c>
      <x:c r="F6" t="n">
        <x:v>72</x:v>
      </x:c>
      <x:c r="G6" t="n">
        <x:f>F6-E6</x:f>
        <x:v>3</x:v>
      </x:c>
      <x:c r="H6" s="2" t="n">
        <x:f>IFERROR(E6/F6,0)</x:f>
        <x:v>0.9583333333333334</x:v>
      </x:c>
      <x:c r="I6" s="2" t="n">
        <x:v>0.96</x:v>
      </x:c>
      <x:c r="J6" s="4" t="n">
        <x:v>0.447213595499958</x:v>
      </x:c>
      <x:c r="K6" t="str">
        <x:v>CAEd_DadosExportados.zip</x:v>
      </x:c>
    </x:row>
    <x:row r="7">
      <x:c r="A7" t="str">
        <x:v>1º ano</x:v>
      </x:c>
      <x:c r="B7" t="str">
        <x:v>referencia</x:v>
      </x:c>
      <x:c r="C7" t="str">
        <x:v>H06</x:v>
      </x:c>
      <x:c r="D7" t="n">
        <x:v>24</x:v>
      </x:c>
      <x:c r="E7" t="n">
        <x:v>53</x:v>
      </x:c>
      <x:c r="F7" t="n">
        <x:v>72</x:v>
      </x:c>
      <x:c r="G7" t="n">
        <x:f>F7-E7</x:f>
        <x:v>19</x:v>
      </x:c>
      <x:c r="H7" s="2" t="n">
        <x:f>IFERROR(E7/F7,0)</x:f>
        <x:v>0.7361111111111112</x:v>
      </x:c>
      <x:c r="I7" s="2" t="n">
        <x:v>0.74</x:v>
      </x:c>
      <x:c r="J7" s="4" t="n">
        <x:v>0.4045467824899276</x:v>
      </x:c>
      <x:c r="K7" t="str">
        <x:v>CAEd_DadosExportados.zip</x:v>
      </x:c>
    </x:row>
    <x:row r="8">
      <x:c r="A8" t="str">
        <x:v>1º ano</x:v>
      </x:c>
      <x:c r="B8" t="str">
        <x:v>referencia</x:v>
      </x:c>
      <x:c r="C8" t="str">
        <x:v>H07</x:v>
      </x:c>
      <x:c r="D8" t="n">
        <x:v>24</x:v>
      </x:c>
      <x:c r="E8" t="n">
        <x:v>27</x:v>
      </x:c>
      <x:c r="F8" t="n">
        <x:v>48</x:v>
      </x:c>
      <x:c r="G8" t="n">
        <x:f>F8-E8</x:f>
        <x:v>21</x:v>
      </x:c>
      <x:c r="H8" s="2" t="n">
        <x:f>IFERROR(E8/F8,0)</x:f>
        <x:v>0.5625</x:v>
      </x:c>
      <x:c r="I8" s="2" t="n">
        <x:v>0.56</x:v>
      </x:c>
      <x:c r="J8" s="4" t="n">
        <x:v>0.6766649524509584</x:v>
      </x:c>
      <x:c r="K8" t="str">
        <x:v>CAEd_DadosExportados.zip</x:v>
      </x:c>
    </x:row>
    <x:row r="9">
      <x:c r="A9" t="str">
        <x:v>1º ano</x:v>
      </x:c>
      <x:c r="B9" t="str">
        <x:v>referencia</x:v>
      </x:c>
      <x:c r="C9" t="str">
        <x:v>H08</x:v>
      </x:c>
      <x:c r="D9" t="n">
        <x:v>24</x:v>
      </x:c>
      <x:c r="E9" t="n">
        <x:v>41</x:v>
      </x:c>
      <x:c r="F9" t="n">
        <x:v>48</x:v>
      </x:c>
      <x:c r="G9" t="n">
        <x:f>F9-E9</x:f>
        <x:v>7</x:v>
      </x:c>
      <x:c r="H9" s="2" t="n">
        <x:f>IFERROR(E9/F9,0)</x:f>
        <x:v>0.8541666666666666</x:v>
      </x:c>
      <x:c r="I9" s="2" t="n">
        <x:v>0.85</x:v>
      </x:c>
      <x:c r="J9" s="4" t="n">
        <x:v>0.38737581753331457</x:v>
      </x:c>
      <x:c r="K9" t="str">
        <x:v>CAEd_DadosExportados.zip</x:v>
      </x:c>
    </x:row>
    <x:row r="10">
      <x:c r="A10" t="str">
        <x:v>1º ano</x:v>
      </x:c>
      <x:c r="B10" t="str">
        <x:v>contraprova</x:v>
      </x:c>
      <x:c r="C10" t="str">
        <x:v>H01</x:v>
      </x:c>
      <x:c r="D10" t="n">
        <x:v>24</x:v>
      </x:c>
      <x:c r="E10" t="n">
        <x:v>40</x:v>
      </x:c>
      <x:c r="F10" t="n">
        <x:v>48</x:v>
      </x:c>
      <x:c r="G10" t="n">
        <x:f>F10-E10</x:f>
        <x:v>8</x:v>
      </x:c>
      <x:c r="H10" s="2" t="n">
        <x:f>IFERROR(E10/F10,0)</x:f>
        <x:v>0.8333333333333334</x:v>
      </x:c>
      <x:c r="I10" s="2" t="n">
        <x:v>0.83</x:v>
      </x:c>
      <x:c r="J10" s="4" t="n">
        <x:v>0.5976143046671968</x:v>
      </x:c>
      <x:c r="K10" t="str">
        <x:v>CAEd_DadosExportados (3).zip</x:v>
      </x:c>
    </x:row>
    <x:row r="11">
      <x:c r="A11" t="str">
        <x:v>1º ano</x:v>
      </x:c>
      <x:c r="B11" t="str">
        <x:v>contraprova</x:v>
      </x:c>
      <x:c r="C11" t="str">
        <x:v>H02</x:v>
      </x:c>
      <x:c r="D11" t="n">
        <x:v>24</x:v>
      </x:c>
      <x:c r="E11" t="n">
        <x:v>36</x:v>
      </x:c>
      <x:c r="F11" t="n">
        <x:v>48</x:v>
      </x:c>
      <x:c r="G11" t="n">
        <x:f>F11-E11</x:f>
        <x:v>12</x:v>
      </x:c>
      <x:c r="H11" s="2" t="n">
        <x:f>IFERROR(E11/F11,0)</x:f>
        <x:v>0.75</x:v>
      </x:c>
      <x:c r="I11" s="2" t="n">
        <x:v>0.75</x:v>
      </x:c>
      <x:c r="J11" s="4" t="n">
        <x:v>0.7319250547113999</x:v>
      </x:c>
      <x:c r="K11" t="str">
        <x:v>CAEd_DadosExportados (3).zip</x:v>
      </x:c>
    </x:row>
    <x:row r="12">
      <x:c r="A12" t="str">
        <x:v>1º ano</x:v>
      </x:c>
      <x:c r="B12" t="str">
        <x:v>contraprova</x:v>
      </x:c>
      <x:c r="C12" t="str">
        <x:v>H03</x:v>
      </x:c>
      <x:c r="D12" t="n">
        <x:v>24</x:v>
      </x:c>
      <x:c r="E12" t="n">
        <x:v>61</x:v>
      </x:c>
      <x:c r="F12" t="n">
        <x:v>72</x:v>
      </x:c>
      <x:c r="G12" t="n">
        <x:f>F12-E12</x:f>
        <x:v>11</x:v>
      </x:c>
      <x:c r="H12" s="2" t="n">
        <x:f>IFERROR(E12/F12,0)</x:f>
        <x:v>0.8472222222222222</x:v>
      </x:c>
      <x:c r="I12" s="2" t="n">
        <x:v>0.85</x:v>
      </x:c>
      <x:c r="J12" s="4" t="n">
        <x:v>0.6078080037565887</x:v>
      </x:c>
      <x:c r="K12" t="str">
        <x:v>CAEd_DadosExportados (3).zip</x:v>
      </x:c>
    </x:row>
    <x:row r="13">
      <x:c r="A13" t="str">
        <x:v>1º ano</x:v>
      </x:c>
      <x:c r="B13" t="str">
        <x:v>contraprova</x:v>
      </x:c>
      <x:c r="C13" t="str">
        <x:v>H04</x:v>
      </x:c>
      <x:c r="D13" t="n">
        <x:v>24</x:v>
      </x:c>
      <x:c r="E13" t="n">
        <x:v>36</x:v>
      </x:c>
      <x:c r="F13" t="n">
        <x:v>72</x:v>
      </x:c>
      <x:c r="G13" t="n">
        <x:f>F13-E13</x:f>
        <x:v>36</x:v>
      </x:c>
      <x:c r="H13" s="2" t="n">
        <x:f>IFERROR(E13/F13,0)</x:f>
        <x:v>0.5</x:v>
      </x:c>
      <x:c r="I13" s="2" t="n">
        <x:v>0.5</x:v>
      </x:c>
      <x:c r="J13" s="4" t="n">
        <x:v>0.6480740698407861</x:v>
      </x:c>
      <x:c r="K13" t="str">
        <x:v>CAEd_DadosExportados (3).zip</x:v>
      </x:c>
    </x:row>
    <x:row r="14">
      <x:c r="A14" t="str">
        <x:v>1º ano</x:v>
      </x:c>
      <x:c r="B14" t="str">
        <x:v>contraprova</x:v>
      </x:c>
      <x:c r="C14" t="str">
        <x:v>H05</x:v>
      </x:c>
      <x:c r="D14" t="n">
        <x:v>24</x:v>
      </x:c>
      <x:c r="E14" t="n">
        <x:v>45</x:v>
      </x:c>
      <x:c r="F14" t="n">
        <x:v>72</x:v>
      </x:c>
      <x:c r="G14" t="n">
        <x:f>F14-E14</x:f>
        <x:v>27</x:v>
      </x:c>
      <x:c r="H14" s="2" t="n">
        <x:f>IFERROR(E14/F14,0)</x:f>
        <x:v>0.625</x:v>
      </x:c>
      <x:c r="I14" s="2" t="n">
        <x:v>0.63</x:v>
      </x:c>
      <x:c r="J14" s="4" t="n">
        <x:v>0.3787121779398485</x:v>
      </x:c>
      <x:c r="K14" t="str">
        <x:v>CAEd_DadosExportados (3).zip</x:v>
      </x:c>
    </x:row>
    <x:row r="15">
      <x:c r="A15" t="str">
        <x:v>1º ano</x:v>
      </x:c>
      <x:c r="B15" t="str">
        <x:v>contraprova</x:v>
      </x:c>
      <x:c r="C15" t="str">
        <x:v>H06</x:v>
      </x:c>
      <x:c r="D15" t="n">
        <x:v>24</x:v>
      </x:c>
      <x:c r="E15" t="n">
        <x:v>65</x:v>
      </x:c>
      <x:c r="F15" t="n">
        <x:v>72</x:v>
      </x:c>
      <x:c r="G15" t="n">
        <x:f>F15-E15</x:f>
        <x:v>7</x:v>
      </x:c>
      <x:c r="H15" s="2" t="n">
        <x:f>IFERROR(E15/F15,0)</x:f>
        <x:v>0.9027777777777778</x:v>
      </x:c>
      <x:c r="I15" s="2" t="n">
        <x:v>0.9</x:v>
      </x:c>
      <x:c r="J15" s="4" t="n">
        <x:v>0.1704453597146584</x:v>
      </x:c>
      <x:c r="K15" t="str">
        <x:v>CAEd_DadosExportados (3).zip</x:v>
      </x:c>
    </x:row>
    <x:row r="16">
      <x:c r="A16" t="str">
        <x:v>1º ano</x:v>
      </x:c>
      <x:c r="B16" t="str">
        <x:v>contraprova</x:v>
      </x:c>
      <x:c r="C16" t="str">
        <x:v>H07</x:v>
      </x:c>
      <x:c r="D16" t="n">
        <x:v>24</x:v>
      </x:c>
      <x:c r="E16" t="n">
        <x:v>29</x:v>
      </x:c>
      <x:c r="F16" t="n">
        <x:v>48</x:v>
      </x:c>
      <x:c r="G16" t="n">
        <x:f>F16-E16</x:f>
        <x:v>19</x:v>
      </x:c>
      <x:c r="H16" s="2" t="n">
        <x:f>IFERROR(E16/F16,0)</x:f>
        <x:v>0.6041666666666666</x:v>
      </x:c>
      <x:c r="I16" s="2" t="n">
        <x:v>0.6</x:v>
      </x:c>
      <x:c r="J16" s="4" t="n">
        <x:v>0.6132321838437322</x:v>
      </x:c>
      <x:c r="K16" t="str">
        <x:v>CAEd_DadosExportados (3).zip</x:v>
      </x:c>
    </x:row>
    <x:row r="17">
      <x:c r="A17" t="str">
        <x:v>1º ano</x:v>
      </x:c>
      <x:c r="B17" t="str">
        <x:v>contraprova</x:v>
      </x:c>
      <x:c r="C17" t="str">
        <x:v>H08</x:v>
      </x:c>
      <x:c r="D17" t="n">
        <x:v>24</x:v>
      </x:c>
      <x:c r="E17" t="n">
        <x:v>41</x:v>
      </x:c>
      <x:c r="F17" t="n">
        <x:v>48</x:v>
      </x:c>
      <x:c r="G17" t="n">
        <x:f>F17-E17</x:f>
        <x:v>7</x:v>
      </x:c>
      <x:c r="H17" s="2" t="n">
        <x:f>IFERROR(E17/F17,0)</x:f>
        <x:v>0.8541666666666666</x:v>
      </x:c>
      <x:c r="I17" s="2" t="n">
        <x:v>0.85</x:v>
      </x:c>
      <x:c r="J17" s="4" t="n">
        <x:v>0.14387999942448002</x:v>
      </x:c>
      <x:c r="K17" t="str">
        <x:v>CAEd_DadosExportados (3).zip</x:v>
      </x:c>
    </x:row>
    <x:row r="18">
      <x:c r="A18" t="str">
        <x:v>1º ano</x:v>
      </x:c>
      <x:c r="B18" t="str">
        <x:v>contraprova</x:v>
      </x:c>
      <x:c r="C18" t="str">
        <x:v>H09</x:v>
      </x:c>
      <x:c r="D18" t="n">
        <x:v>24</x:v>
      </x:c>
      <x:c r="E18" t="n">
        <x:v>48</x:v>
      </x:c>
      <x:c r="F18" t="n">
        <x:v>48</x:v>
      </x:c>
      <x:c r="G18" t="n">
        <x:f>F18-E18</x:f>
        <x:v>0</x:v>
      </x:c>
      <x:c r="H18" s="2" t="n">
        <x:f>IFERROR(E18/F18,0)</x:f>
        <x:v>1</x:v>
      </x:c>
      <x:c r="I18" s="2" t="n">
        <x:v>1</x:v>
      </x:c>
      <x:c r="J18" s="4"/>
      <x:c r="K18" t="str">
        <x:v>CAEd_DadosExportados (3).zip</x:v>
      </x:c>
    </x:row>
    <x:row r="19">
      <x:c r="A19" t="str">
        <x:v>2º ano</x:v>
      </x:c>
      <x:c r="B19" t="str">
        <x:v>referencia</x:v>
      </x:c>
      <x:c r="C19" t="str">
        <x:v>H01</x:v>
      </x:c>
      <x:c r="D19" t="n">
        <x:v>26</x:v>
      </x:c>
      <x:c r="E19" t="n">
        <x:v>30</x:v>
      </x:c>
      <x:c r="F19" t="n">
        <x:v>52</x:v>
      </x:c>
      <x:c r="G19" t="n">
        <x:f>F19-E19</x:f>
        <x:v>22</x:v>
      </x:c>
      <x:c r="H19" s="2" t="n">
        <x:f>IFERROR(E19/F19,0)</x:f>
        <x:v>0.5769230769230769</x:v>
      </x:c>
      <x:c r="I19" s="2" t="n">
        <x:v>0.58</x:v>
      </x:c>
      <x:c r="J19" s="4" t="n">
        <x:v>0.5692099788303082</x:v>
      </x:c>
      <x:c r="K19" t="str">
        <x:v>CAEd_DadosExportados (1).zip</x:v>
      </x:c>
    </x:row>
    <x:row r="20">
      <x:c r="A20" t="str">
        <x:v>2º ano</x:v>
      </x:c>
      <x:c r="B20" t="str">
        <x:v>referencia</x:v>
      </x:c>
      <x:c r="C20" t="str">
        <x:v>H02</x:v>
      </x:c>
      <x:c r="D20" t="n">
        <x:v>26</x:v>
      </x:c>
      <x:c r="E20" t="n">
        <x:v>37</x:v>
      </x:c>
      <x:c r="F20" t="n">
        <x:v>52</x:v>
      </x:c>
      <x:c r="G20" t="n">
        <x:f>F20-E20</x:f>
        <x:v>15</x:v>
      </x:c>
      <x:c r="H20" s="2" t="n">
        <x:f>IFERROR(E20/F20,0)</x:f>
        <x:v>0.7115384615384616</x:v>
      </x:c>
      <x:c r="I20" s="2" t="n">
        <x:v>0.71</x:v>
      </x:c>
      <x:c r="J20" s="4" t="n">
        <x:v>0.6001038331754766</x:v>
      </x:c>
      <x:c r="K20" t="str">
        <x:v>CAEd_DadosExportados (1).zip</x:v>
      </x:c>
    </x:row>
    <x:row r="21">
      <x:c r="A21" t="str">
        <x:v>2º ano</x:v>
      </x:c>
      <x:c r="B21" t="str">
        <x:v>referencia</x:v>
      </x:c>
      <x:c r="C21" t="str">
        <x:v>H03</x:v>
      </x:c>
      <x:c r="D21" t="n">
        <x:v>26</x:v>
      </x:c>
      <x:c r="E21" t="n">
        <x:v>45</x:v>
      </x:c>
      <x:c r="F21" t="n">
        <x:v>52</x:v>
      </x:c>
      <x:c r="G21" t="n">
        <x:f>F21-E21</x:f>
        <x:v>7</x:v>
      </x:c>
      <x:c r="H21" s="2" t="n">
        <x:f>IFERROR(E21/F21,0)</x:f>
        <x:v>0.8653846153846154</x:v>
      </x:c>
      <x:c r="I21" s="2" t="n">
        <x:v>0.87</x:v>
      </x:c>
      <x:c r="J21" s="4" t="n">
        <x:v>0.5751536210124327</x:v>
      </x:c>
      <x:c r="K21" t="str">
        <x:v>CAEd_DadosExportados (1).zip</x:v>
      </x:c>
    </x:row>
    <x:row r="22">
      <x:c r="A22" t="str">
        <x:v>2º ano</x:v>
      </x:c>
      <x:c r="B22" t="str">
        <x:v>referencia</x:v>
      </x:c>
      <x:c r="C22" t="str">
        <x:v>H04</x:v>
      </x:c>
      <x:c r="D22" t="n">
        <x:v>26</x:v>
      </x:c>
      <x:c r="E22" t="n">
        <x:v>47</x:v>
      </x:c>
      <x:c r="F22" t="n">
        <x:v>52</x:v>
      </x:c>
      <x:c r="G22" t="n">
        <x:f>F22-E22</x:f>
        <x:v>5</x:v>
      </x:c>
      <x:c r="H22" s="2" t="n">
        <x:f>IFERROR(E22/F22,0)</x:f>
        <x:v>0.9038461538461539</x:v>
      </x:c>
      <x:c r="I22" s="2" t="n">
        <x:v>0.9</x:v>
      </x:c>
      <x:c r="J22" s="4" t="n">
        <x:v>0.41661904489764817</x:v>
      </x:c>
      <x:c r="K22" t="str">
        <x:v>CAEd_DadosExportados (1).zip</x:v>
      </x:c>
    </x:row>
    <x:row r="23">
      <x:c r="A23" t="str">
        <x:v>2º ano</x:v>
      </x:c>
      <x:c r="B23" t="str">
        <x:v>referencia</x:v>
      </x:c>
      <x:c r="C23" t="str">
        <x:v>H05</x:v>
      </x:c>
      <x:c r="D23" t="n">
        <x:v>26</x:v>
      </x:c>
      <x:c r="E23" t="n">
        <x:v>25</x:v>
      </x:c>
      <x:c r="F23" t="n">
        <x:v>26</x:v>
      </x:c>
      <x:c r="G23" t="n">
        <x:f>F23-E23</x:f>
        <x:v>1</x:v>
      </x:c>
      <x:c r="H23" s="2" t="n">
        <x:f>IFERROR(E23/F23,0)</x:f>
        <x:v>0.9615384615384616</x:v>
      </x:c>
      <x:c r="I23" s="2" t="n">
        <x:v>0.96</x:v>
      </x:c>
      <x:c r="J23" s="4" t="n">
        <x:v>0.25298221281347033</x:v>
      </x:c>
      <x:c r="K23" t="str">
        <x:v>CAEd_DadosExportados (1).zip</x:v>
      </x:c>
    </x:row>
    <x:row r="24">
      <x:c r="A24" t="str">
        <x:v>2º ano</x:v>
      </x:c>
      <x:c r="B24" t="str">
        <x:v>referencia</x:v>
      </x:c>
      <x:c r="C24" t="str">
        <x:v>H06</x:v>
      </x:c>
      <x:c r="D24" t="n">
        <x:v>26</x:v>
      </x:c>
      <x:c r="E24" t="n">
        <x:v>34</x:v>
      </x:c>
      <x:c r="F24" t="n">
        <x:v>52</x:v>
      </x:c>
      <x:c r="G24" t="n">
        <x:f>F24-E24</x:f>
        <x:v>18</x:v>
      </x:c>
      <x:c r="H24" s="2" t="n">
        <x:f>IFERROR(E24/F24,0)</x:f>
        <x:v>0.6538461538461539</x:v>
      </x:c>
      <x:c r="I24" s="2" t="n">
        <x:v>0.65</x:v>
      </x:c>
      <x:c r="J24" s="4" t="n">
        <x:v>0.5562148865321747</x:v>
      </x:c>
      <x:c r="K24" t="str">
        <x:v>CAEd_DadosExportados (1).zip</x:v>
      </x:c>
    </x:row>
    <x:row r="25">
      <x:c r="A25" t="str">
        <x:v>2º ano</x:v>
      </x:c>
      <x:c r="B25" t="str">
        <x:v>referencia</x:v>
      </x:c>
      <x:c r="C25" t="str">
        <x:v>H07</x:v>
      </x:c>
      <x:c r="D25" t="n">
        <x:v>26</x:v>
      </x:c>
      <x:c r="E25" t="n">
        <x:v>43</x:v>
      </x:c>
      <x:c r="F25" t="n">
        <x:v>52</x:v>
      </x:c>
      <x:c r="G25" t="n">
        <x:f>F25-E25</x:f>
        <x:v>9</x:v>
      </x:c>
      <x:c r="H25" s="2" t="n">
        <x:f>IFERROR(E25/F25,0)</x:f>
        <x:v>0.8269230769230769</x:v>
      </x:c>
      <x:c r="I25" s="2" t="n">
        <x:v>0.83</x:v>
      </x:c>
      <x:c r="J25" s="4" t="n">
        <x:v>0.507985019944294</x:v>
      </x:c>
      <x:c r="K25" t="str">
        <x:v>CAEd_DadosExportados (1).zip</x:v>
      </x:c>
    </x:row>
    <x:row r="26">
      <x:c r="A26" t="str">
        <x:v>2º ano</x:v>
      </x:c>
      <x:c r="B26" t="str">
        <x:v>referencia</x:v>
      </x:c>
      <x:c r="C26" t="str">
        <x:v>H08</x:v>
      </x:c>
      <x:c r="D26" t="n">
        <x:v>26</x:v>
      </x:c>
      <x:c r="E26" t="n">
        <x:v>35</x:v>
      </x:c>
      <x:c r="F26" t="n">
        <x:v>52</x:v>
      </x:c>
      <x:c r="G26" t="n">
        <x:f>F26-E26</x:f>
        <x:v>17</x:v>
      </x:c>
      <x:c r="H26" s="2" t="n">
        <x:f>IFERROR(E26/F26,0)</x:f>
        <x:v>0.6730769230769231</x:v>
      </x:c>
      <x:c r="I26" s="2" t="n">
        <x:v>0.67</x:v>
      </x:c>
      <x:c r="J26" s="4" t="n">
        <x:v>0.80721298167456</x:v>
      </x:c>
      <x:c r="K26" t="str">
        <x:v>CAEd_DadosExportados (1).zip</x:v>
      </x:c>
    </x:row>
    <x:row r="27">
      <x:c r="A27" t="str">
        <x:v>2º ano</x:v>
      </x:c>
      <x:c r="B27" t="str">
        <x:v>referencia</x:v>
      </x:c>
      <x:c r="C27" t="str">
        <x:v>H09</x:v>
      </x:c>
      <x:c r="D27" t="n">
        <x:v>26</x:v>
      </x:c>
      <x:c r="E27" t="n">
        <x:v>48</x:v>
      </x:c>
      <x:c r="F27" t="n">
        <x:v>52</x:v>
      </x:c>
      <x:c r="G27" t="n">
        <x:f>F27-E27</x:f>
        <x:v>4</x:v>
      </x:c>
      <x:c r="H27" s="2" t="n">
        <x:f>IFERROR(E27/F27,0)</x:f>
        <x:v>0.9230769230769231</x:v>
      </x:c>
      <x:c r="I27" s="2" t="n">
        <x:v>0.92</x:v>
      </x:c>
      <x:c r="J27" s="4" t="n">
        <x:v>0.32024493467004</x:v>
      </x:c>
      <x:c r="K27" t="str">
        <x:v>CAEd_DadosExportados (1).zip</x:v>
      </x:c>
    </x:row>
    <x:row r="28">
      <x:c r="A28" t="str">
        <x:v>2º ano</x:v>
      </x:c>
      <x:c r="B28" t="str">
        <x:v>referencia</x:v>
      </x:c>
      <x:c r="C28" t="str">
        <x:v>H10</x:v>
      </x:c>
      <x:c r="D28" t="n">
        <x:v>26</x:v>
      </x:c>
      <x:c r="E28" t="n">
        <x:v>18</x:v>
      </x:c>
      <x:c r="F28" t="n">
        <x:v>26</x:v>
      </x:c>
      <x:c r="G28" t="n">
        <x:f>F28-E28</x:f>
        <x:v>8</x:v>
      </x:c>
      <x:c r="H28" s="2" t="n">
        <x:f>IFERROR(E28/F28,0)</x:f>
        <x:v>0.6923076923076923</x:v>
      </x:c>
      <x:c r="I28" s="2" t="n">
        <x:v>0.69</x:v>
      </x:c>
      <x:c r="J28" s="4" t="n">
        <x:v>0.6719840027857806</x:v>
      </x:c>
      <x:c r="K28" t="str">
        <x:v>CAEd_DadosExportados (1).zip</x:v>
      </x:c>
    </x:row>
    <x:row r="29">
      <x:c r="A29" t="str">
        <x:v>2º ano</x:v>
      </x:c>
      <x:c r="B29" t="str">
        <x:v>referencia</x:v>
      </x:c>
      <x:c r="C29" t="str">
        <x:v>H11</x:v>
      </x:c>
      <x:c r="D29" t="n">
        <x:v>26</x:v>
      </x:c>
      <x:c r="E29" t="n">
        <x:v>31</x:v>
      </x:c>
      <x:c r="F29" t="n">
        <x:v>52</x:v>
      </x:c>
      <x:c r="G29" t="n">
        <x:f>F29-E29</x:f>
        <x:v>21</x:v>
      </x:c>
      <x:c r="H29" s="2" t="n">
        <x:f>IFERROR(E29/F29,0)</x:f>
        <x:v>0.5961538461538461</x:v>
      </x:c>
      <x:c r="I29" s="2" t="n">
        <x:v>0.6</x:v>
      </x:c>
      <x:c r="J29" s="4" t="n">
        <x:v>0.6372565342238234</x:v>
      </x:c>
      <x:c r="K29" t="str">
        <x:v>CAEd_DadosExportados (1).zip</x:v>
      </x:c>
    </x:row>
    <x:row r="30">
      <x:c r="A30" t="str">
        <x:v>2º ano</x:v>
      </x:c>
      <x:c r="B30" t="str">
        <x:v>referencia</x:v>
      </x:c>
      <x:c r="C30" t="str">
        <x:v>H12</x:v>
      </x:c>
      <x:c r="D30" t="n">
        <x:v>26</x:v>
      </x:c>
      <x:c r="E30" t="n">
        <x:v>18</x:v>
      </x:c>
      <x:c r="F30" t="n">
        <x:v>26</x:v>
      </x:c>
      <x:c r="G30" t="n">
        <x:f>F30-E30</x:f>
        <x:v>8</x:v>
      </x:c>
      <x:c r="H30" s="2" t="n">
        <x:f>IFERROR(E30/F30,0)</x:f>
        <x:v>0.6923076923076923</x:v>
      </x:c>
      <x:c r="I30" s="2" t="n">
        <x:v>0.69</x:v>
      </x:c>
      <x:c r="J30" s="4" t="n">
        <x:v>0.5006939628599933</x:v>
      </x:c>
      <x:c r="K30" t="str">
        <x:v>CAEd_DadosExportados (1).zip</x:v>
      </x:c>
    </x:row>
    <x:row r="31">
      <x:c r="A31" t="str">
        <x:v>2º ano</x:v>
      </x:c>
      <x:c r="B31" t="str">
        <x:v>referencia</x:v>
      </x:c>
      <x:c r="C31" t="str">
        <x:v>H13</x:v>
      </x:c>
      <x:c r="D31" t="n">
        <x:v>26</x:v>
      </x:c>
      <x:c r="E31" t="n">
        <x:v>11</x:v>
      </x:c>
      <x:c r="F31" t="n">
        <x:v>26</x:v>
      </x:c>
      <x:c r="G31" t="n">
        <x:f>F31-E31</x:f>
        <x:v>15</x:v>
      </x:c>
      <x:c r="H31" s="2" t="n">
        <x:f>IFERROR(E31/F31,0)</x:f>
        <x:v>0.4230769230769231</x:v>
      </x:c>
      <x:c r="I31" s="2" t="n">
        <x:v>0.42</x:v>
      </x:c>
      <x:c r="J31" s="4" t="n">
        <x:v>0.036927447293799834</x:v>
      </x:c>
      <x:c r="K31" t="str">
        <x:v>CAEd_DadosExportados (1).zip</x:v>
      </x:c>
    </x:row>
    <x:row r="32">
      <x:c r="A32" t="str">
        <x:v>2º ano</x:v>
      </x:c>
      <x:c r="B32" t="str">
        <x:v>contraprova</x:v>
      </x:c>
      <x:c r="C32" t="str">
        <x:v>H01</x:v>
      </x:c>
      <x:c r="D32" t="n">
        <x:v>28</x:v>
      </x:c>
      <x:c r="E32" t="n">
        <x:v>20</x:v>
      </x:c>
      <x:c r="F32" t="n">
        <x:v>56</x:v>
      </x:c>
      <x:c r="G32" t="n">
        <x:f>F32-E32</x:f>
        <x:v>36</x:v>
      </x:c>
      <x:c r="H32" s="2" t="n">
        <x:f>IFERROR(E32/F32,0)</x:f>
        <x:v>0.35714285714285715</x:v>
      </x:c>
      <x:c r="I32" s="2" t="n">
        <x:v>0.36</x:v>
      </x:c>
      <x:c r="J32" s="4" t="n">
        <x:v>0.5456606744659314</x:v>
      </x:c>
      <x:c r="K32" t="str">
        <x:v>CAEd_DadosExportados (2).zip</x:v>
      </x:c>
    </x:row>
    <x:row r="33">
      <x:c r="A33" t="str">
        <x:v>2º ano</x:v>
      </x:c>
      <x:c r="B33" t="str">
        <x:v>contraprova</x:v>
      </x:c>
      <x:c r="C33" t="str">
        <x:v>H02</x:v>
      </x:c>
      <x:c r="D33" t="n">
        <x:v>28</x:v>
      </x:c>
      <x:c r="E33" t="n">
        <x:v>40</x:v>
      </x:c>
      <x:c r="F33" t="n">
        <x:v>56</x:v>
      </x:c>
      <x:c r="G33" t="n">
        <x:f>F33-E33</x:f>
        <x:v>16</x:v>
      </x:c>
      <x:c r="H33" s="2" t="n">
        <x:f>IFERROR(E33/F33,0)</x:f>
        <x:v>0.7142857142857143</x:v>
      </x:c>
      <x:c r="I33" s="2" t="n">
        <x:v>0.71</x:v>
      </x:c>
      <x:c r="J33" s="4" t="n">
        <x:v>0.6617241025372945</x:v>
      </x:c>
      <x:c r="K33" t="str">
        <x:v>CAEd_DadosExportados (2).zip</x:v>
      </x:c>
    </x:row>
    <x:row r="34">
      <x:c r="A34" t="str">
        <x:v>2º ano</x:v>
      </x:c>
      <x:c r="B34" t="str">
        <x:v>contraprova</x:v>
      </x:c>
      <x:c r="C34" t="str">
        <x:v>H03</x:v>
      </x:c>
      <x:c r="D34" t="n">
        <x:v>28</x:v>
      </x:c>
      <x:c r="E34" t="n">
        <x:v>45</x:v>
      </x:c>
      <x:c r="F34" t="n">
        <x:v>56</x:v>
      </x:c>
      <x:c r="G34" t="n">
        <x:f>F34-E34</x:f>
        <x:v>11</x:v>
      </x:c>
      <x:c r="H34" s="2" t="n">
        <x:f>IFERROR(E34/F34,0)</x:f>
        <x:v>0.8035714285714286</x:v>
      </x:c>
      <x:c r="I34" s="2" t="n">
        <x:v>0.8</x:v>
      </x:c>
      <x:c r="J34" s="4" t="n">
        <x:v>0.5220729368510382</x:v>
      </x:c>
      <x:c r="K34" t="str">
        <x:v>CAEd_DadosExportados (2).zip</x:v>
      </x:c>
    </x:row>
    <x:row r="35">
      <x:c r="A35" t="str">
        <x:v>2º ano</x:v>
      </x:c>
      <x:c r="B35" t="str">
        <x:v>contraprova</x:v>
      </x:c>
      <x:c r="C35" t="str">
        <x:v>H04</x:v>
      </x:c>
      <x:c r="D35" t="n">
        <x:v>28</x:v>
      </x:c>
      <x:c r="E35" t="n">
        <x:v>43</x:v>
      </x:c>
      <x:c r="F35" t="n">
        <x:v>56</x:v>
      </x:c>
      <x:c r="G35" t="n">
        <x:f>F35-E35</x:f>
        <x:v>13</x:v>
      </x:c>
      <x:c r="H35" s="2" t="n">
        <x:f>IFERROR(E35/F35,0)</x:f>
        <x:v>0.7678571428571429</x:v>
      </x:c>
      <x:c r="I35" s="2" t="n">
        <x:v>0.77</x:v>
      </x:c>
      <x:c r="J35" s="4" t="n">
        <x:v>0.6087471555705247</x:v>
      </x:c>
      <x:c r="K35" t="str">
        <x:v>CAEd_DadosExportados (2).zip</x:v>
      </x:c>
    </x:row>
    <x:row r="36">
      <x:c r="A36" t="str">
        <x:v>2º ano</x:v>
      </x:c>
      <x:c r="B36" t="str">
        <x:v>contraprova</x:v>
      </x:c>
      <x:c r="C36" t="str">
        <x:v>H05</x:v>
      </x:c>
      <x:c r="D36" t="n">
        <x:v>28</x:v>
      </x:c>
      <x:c r="E36" t="n">
        <x:v>41</x:v>
      </x:c>
      <x:c r="F36" t="n">
        <x:v>56</x:v>
      </x:c>
      <x:c r="G36" t="n">
        <x:f>F36-E36</x:f>
        <x:v>15</x:v>
      </x:c>
      <x:c r="H36" s="2" t="n">
        <x:f>IFERROR(E36/F36,0)</x:f>
        <x:v>0.7321428571428571</x:v>
      </x:c>
      <x:c r="I36" s="2" t="n">
        <x:v>0.73</x:v>
      </x:c>
      <x:c r="J36" s="4" t="n">
        <x:v>0.6181124936371433</x:v>
      </x:c>
      <x:c r="K36" t="str">
        <x:v>CAEd_DadosExportados (2).zip</x:v>
      </x:c>
    </x:row>
    <x:row r="37">
      <x:c r="A37" t="str">
        <x:v>2º ano</x:v>
      </x:c>
      <x:c r="B37" t="str">
        <x:v>contraprova</x:v>
      </x:c>
      <x:c r="C37" t="str">
        <x:v>H06</x:v>
      </x:c>
      <x:c r="D37" t="n">
        <x:v>28</x:v>
      </x:c>
      <x:c r="E37" t="n">
        <x:v>42</x:v>
      </x:c>
      <x:c r="F37" t="n">
        <x:v>56</x:v>
      </x:c>
      <x:c r="G37" t="n">
        <x:f>F37-E37</x:f>
        <x:v>14</x:v>
      </x:c>
      <x:c r="H37" s="2" t="n">
        <x:f>IFERROR(E37/F37,0)</x:f>
        <x:v>0.75</x:v>
      </x:c>
      <x:c r="I37" s="2" t="n">
        <x:v>0.75</x:v>
      </x:c>
      <x:c r="J37" s="4" t="n">
        <x:v>0.7652587242447353</x:v>
      </x:c>
      <x:c r="K37" t="str">
        <x:v>CAEd_DadosExportados (2).zip</x:v>
      </x:c>
    </x:row>
    <x:row r="38">
      <x:c r="A38" t="str">
        <x:v>2º ano</x:v>
      </x:c>
      <x:c r="B38" t="str">
        <x:v>contraprova</x:v>
      </x:c>
      <x:c r="C38" t="str">
        <x:v>H07</x:v>
      </x:c>
      <x:c r="D38" t="n">
        <x:v>28</x:v>
      </x:c>
      <x:c r="E38" t="n">
        <x:v>27</x:v>
      </x:c>
      <x:c r="F38" t="n">
        <x:v>56</x:v>
      </x:c>
      <x:c r="G38" t="n">
        <x:f>F38-E38</x:f>
        <x:v>29</x:v>
      </x:c>
      <x:c r="H38" s="2" t="n">
        <x:f>IFERROR(E38/F38,0)</x:f>
        <x:v>0.48214285714285715</x:v>
      </x:c>
      <x:c r="I38" s="2" t="n">
        <x:v>0.48</x:v>
      </x:c>
      <x:c r="J38" s="4" t="n">
        <x:v>0.7827658186498825</x:v>
      </x:c>
      <x:c r="K38" t="str">
        <x:v>CAEd_DadosExportados (2).zip</x:v>
      </x:c>
    </x:row>
    <x:row r="39">
      <x:c r="A39" t="str">
        <x:v>2º ano</x:v>
      </x:c>
      <x:c r="B39" t="str">
        <x:v>contraprova</x:v>
      </x:c>
      <x:c r="C39" t="str">
        <x:v>H08</x:v>
      </x:c>
      <x:c r="D39" t="n">
        <x:v>28</x:v>
      </x:c>
      <x:c r="E39" t="n">
        <x:v>32</x:v>
      </x:c>
      <x:c r="F39" t="n">
        <x:v>56</x:v>
      </x:c>
      <x:c r="G39" t="n">
        <x:f>F39-E39</x:f>
        <x:v>24</x:v>
      </x:c>
      <x:c r="H39" s="2" t="n">
        <x:f>IFERROR(E39/F39,0)</x:f>
        <x:v>0.5714285714285714</x:v>
      </x:c>
      <x:c r="I39" s="2" t="n">
        <x:v>0.57</x:v>
      </x:c>
      <x:c r="J39" s="4" t="n">
        <x:v>0.5450865450217847</x:v>
      </x:c>
      <x:c r="K39" t="str">
        <x:v>CAEd_DadosExportados (2).zip</x:v>
      </x:c>
    </x:row>
    <x:row r="40">
      <x:c r="A40" t="str">
        <x:v>2º ano</x:v>
      </x:c>
      <x:c r="B40" t="str">
        <x:v>contraprova</x:v>
      </x:c>
      <x:c r="C40" t="str">
        <x:v>H09</x:v>
      </x:c>
      <x:c r="D40" t="n">
        <x:v>28</x:v>
      </x:c>
      <x:c r="E40" t="n">
        <x:v>48</x:v>
      </x:c>
      <x:c r="F40" t="n">
        <x:v>56</x:v>
      </x:c>
      <x:c r="G40" t="n">
        <x:f>F40-E40</x:f>
        <x:v>8</x:v>
      </x:c>
      <x:c r="H40" s="2" t="n">
        <x:f>IFERROR(E40/F40,0)</x:f>
        <x:v>0.8571428571428571</x:v>
      </x:c>
      <x:c r="I40" s="2" t="n">
        <x:v>0.86</x:v>
      </x:c>
      <x:c r="J40" s="4" t="n">
        <x:v>0.5926377579897538</x:v>
      </x:c>
      <x:c r="K40" t="str">
        <x:v>CAEd_DadosExportados (2).zip</x:v>
      </x:c>
    </x:row>
    <x:row r="41">
      <x:c r="A41" t="str">
        <x:v>2º ano</x:v>
      </x:c>
      <x:c r="B41" t="str">
        <x:v>contraprova</x:v>
      </x:c>
      <x:c r="C41" t="str">
        <x:v>H10</x:v>
      </x:c>
      <x:c r="D41" t="n">
        <x:v>28</x:v>
      </x:c>
      <x:c r="E41" t="n">
        <x:v>44</x:v>
      </x:c>
      <x:c r="F41" t="n">
        <x:v>56</x:v>
      </x:c>
      <x:c r="G41" t="n">
        <x:f>F41-E41</x:f>
        <x:v>12</x:v>
      </x:c>
      <x:c r="H41" s="2" t="n">
        <x:f>IFERROR(E41/F41,0)</x:f>
        <x:v>0.7857142857142857</x:v>
      </x:c>
      <x:c r="I41" s="2" t="n">
        <x:v>0.79</x:v>
      </x:c>
      <x:c r="J41" s="4" t="n">
        <x:v>0.7410482726333565</x:v>
      </x:c>
      <x:c r="K41" t="str">
        <x:v>CAEd_DadosExportados (2).zip</x:v>
      </x:c>
    </x:row>
    <x:row r="42">
      <x:c r="A42" t="str">
        <x:v>2º ano</x:v>
      </x:c>
      <x:c r="B42" t="str">
        <x:v>contraprova</x:v>
      </x:c>
      <x:c r="C42" t="str">
        <x:v>H11</x:v>
      </x:c>
      <x:c r="D42" t="n">
        <x:v>28</x:v>
      </x:c>
      <x:c r="E42" t="n">
        <x:v>43</x:v>
      </x:c>
      <x:c r="F42" t="n">
        <x:v>56</x:v>
      </x:c>
      <x:c r="G42" t="n">
        <x:f>F42-E42</x:f>
        <x:v>13</x:v>
      </x:c>
      <x:c r="H42" s="2" t="n">
        <x:f>IFERROR(E42/F42,0)</x:f>
        <x:v>0.7678571428571429</x:v>
      </x:c>
      <x:c r="I42" s="2" t="n">
        <x:v>0.77</x:v>
      </x:c>
      <x:c r="J42" s="4" t="n">
        <x:v>0.6481518101701046</x:v>
      </x:c>
      <x:c r="K42" t="str">
        <x:v>CAEd_DadosExportados (2).zip</x:v>
      </x:c>
    </x:row>
    <x:row r="44">
      <x:c r="A44" t="str">
        <x:v>*Associação parte-todo (mesma prova), não demonstra impacto causal da habilidade sobre o desempenho.</x:v>
      </x:c>
    </x:row>
  </x:sheetData>
  <x:mergeCells>
    <x:mergeCell ref="A44:K44"/>
  </x:mergeCells>
  <x:conditionalFormatting sqref="H2:H42">
    <x:cfRule type="colorScale" priority="1">
      <x:colorScale>
        <x:cfvo type="min"/>
        <x:cfvo type="percentile" val="50"/>
        <x:cfvo type="max"/>
        <x:color rgb="FFFDE8E8"/>
        <x:color rgb="FFFFF5D3"/>
        <x:color rgb="FFD5F3E6"/>
      </x:colorScale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1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47" hidden="0" customWidth="1"/>
    <x:col min="8" max="8" width="47" hidden="0" customWidth="1"/>
  </x:cols>
  <x:sheetData>
    <x:row r="1" ht="32" customHeight="1">
      <x:c r="A1" s="8" t="str">
        <x:v>Ano</x:v>
      </x:c>
      <x:c r="B1" s="8" t="str">
        <x:v>Aplicacao</x:v>
      </x:c>
      <x:c r="C1" s="8" t="str">
        <x:v>% avaliados</x:v>
      </x:c>
      <x:c r="D1" s="8" t="str">
        <x:v>% defasagem</x:v>
      </x:c>
      <x:c r="E1" s="8" t="str">
        <x:v>% intermediario</x:v>
      </x:c>
      <x:c r="F1" s="8" t="str">
        <x:v>% adequado</x:v>
      </x:c>
      <x:c r="G1" s="8" t="str">
        <x:v>ZIP</x:v>
      </x:c>
      <x:c r="H1" s="8" t="str">
        <x:v>CSV original</x:v>
      </x:c>
    </x:row>
    <x:row r="2">
      <x:c r="A2" t="str">
        <x:v>1º ano</x:v>
      </x:c>
      <x:c r="B2" t="str">
        <x:v>referencia</x:v>
      </x:c>
      <x:c r="C2" s="2" t="n">
        <x:v>1</x:v>
      </x:c>
      <x:c r="D2" s="2" t="n">
        <x:v>0.08</x:v>
      </x:c>
      <x:c r="E2" s="2" t="n">
        <x:v>0.33</x:v>
      </x:c>
      <x:c r="F2" s="2" t="n">
        <x:v>0.58</x:v>
      </x:c>
      <x:c r="G2" t="str">
        <x:v>CAEd_DadosExportados.zip</x:v>
      </x:c>
      <x:c r="H2" t="str">
        <x:v>HABILIDADE_DESEMPENHO_ESCOLA 30-07-2026 9-16-45.csv</x:v>
      </x:c>
    </x:row>
    <x:row r="3">
      <x:c r="A3" t="str">
        <x:v>1º ano</x:v>
      </x:c>
      <x:c r="B3" t="str">
        <x:v>contraprova</x:v>
      </x:c>
      <x:c r="C3" s="2" t="n">
        <x:v>1</x:v>
      </x:c>
      <x:c r="D3" s="2" t="n">
        <x:v>0</x:v>
      </x:c>
      <x:c r="E3" s="2" t="n">
        <x:v>0.58</x:v>
      </x:c>
      <x:c r="F3" s="2" t="n">
        <x:v>0.42</x:v>
      </x:c>
      <x:c r="G3" t="str">
        <x:v>CAEd_DadosExportados (3).zip</x:v>
      </x:c>
      <x:c r="H3" t="str">
        <x:v>HABILIDADE_DESEMPENHO_ESCOLA 30-07-2026 9-19-41.csv</x:v>
      </x:c>
    </x:row>
    <x:row r="4">
      <x:c r="A4" t="str">
        <x:v>2º ano</x:v>
      </x:c>
      <x:c r="B4" t="str">
        <x:v>referencia</x:v>
      </x:c>
      <x:c r="C4" s="2" t="n">
        <x:v>1</x:v>
      </x:c>
      <x:c r="D4" s="2" t="n">
        <x:v>0.19</x:v>
      </x:c>
      <x:c r="E4" s="2" t="n">
        <x:v>0.19</x:v>
      </x:c>
      <x:c r="F4" s="2" t="n">
        <x:v>0.62</x:v>
      </x:c>
      <x:c r="G4" t="str">
        <x:v>CAEd_DadosExportados (1).zip</x:v>
      </x:c>
      <x:c r="H4" t="str">
        <x:v>HABILIDADE_DESEMPENHO_ESCOLA 30-07-2026 9-18-47.csv</x:v>
      </x:c>
    </x:row>
    <x:row r="5">
      <x:c r="A5" t="str">
        <x:v>2º ano</x:v>
      </x:c>
      <x:c r="B5" t="str">
        <x:v>contraprova</x:v>
      </x:c>
      <x:c r="C5" s="2" t="n">
        <x:v>1</x:v>
      </x:c>
      <x:c r="D5" s="2" t="n">
        <x:v>0.25</x:v>
      </x:c>
      <x:c r="E5" s="2" t="n">
        <x:v>0.11</x:v>
      </x:c>
      <x:c r="F5" s="2" t="n">
        <x:v>0.64</x:v>
      </x:c>
      <x:c r="G5" t="str">
        <x:v>CAEd_DadosExportados (2).zip</x:v>
      </x:c>
      <x:c r="H5" t="str">
        <x:v>HABILIDADE_DESEMPENHO_ESCOLA 30-07-2026 9-19-16.csv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1" hidden="0" customWidth="1"/>
    <x:col min="3" max="3" width="120" hidden="0" customWidth="1"/>
  </x:cols>
  <x:sheetData>
    <x:row r="1" ht="32" customHeight="1">
      <x:c r="A1" s="8" t="str">
        <x:v>Classe</x:v>
      </x:c>
      <x:c r="B1" s="8" t="str">
        <x:v>Variavel</x:v>
      </x:c>
      <x:c r="C1" s="8" t="str">
        <x:v>Definicao / Limitacao</x:v>
      </x:c>
    </x:row>
    <x:row r="2">
      <x:c r="A2" t="str">
        <x:v>ID</x:v>
      </x:c>
      <x:c r="B2" t="str">
        <x:v>id_aluno</x:v>
      </x:c>
      <x:c r="C2" t="str">
        <x:v>Identificador interno constante entre as formas. A tabela de correspondência nominal é RESTRITA.</x:v>
      </x:c>
    </x:row>
    <x:row r="3">
      <x:c r="A3" t="str">
        <x:v>FONTE</x:v>
      </x:c>
      <x:c r="B3" t="str">
        <x:v>aplicacao</x:v>
      </x:c>
      <x:c r="C3" t="str">
        <x:v>Referencia ou contraprova: rótulo ASSUMIDO pelas exportações, sem metadado de teste.</x:v>
      </x:c>
    </x:row>
    <x:row r="4">
      <x:c r="A4" t="str">
        <x:v>FONTE</x:v>
      </x:c>
      <x:c r="B4" t="str">
        <x:v>arquivo_zip</x:v>
      </x:c>
      <x:c r="C4" t="str">
        <x:v>Nome exato do ZIP fornecido na conversa.</x:v>
      </x:c>
    </x:row>
    <x:row r="5">
      <x:c r="A5" t="str">
        <x:v>FONTE</x:v>
      </x:c>
      <x:c r="B5" t="str">
        <x:v>arquivo_origem</x:v>
      </x:c>
      <x:c r="C5" t="str">
        <x:v>CSV individual dentro do ZIP, preservado para rastreabilidade.</x:v>
      </x:c>
    </x:row>
    <x:row r="6">
      <x:c r="A6" t="str">
        <x:v>ORIGINAL</x:v>
      </x:c>
      <x:c r="B6" t="str">
        <x:v>nivel_caed</x:v>
      </x:c>
      <x:c r="C6" t="str">
        <x:v>Defasagem / Intermediário / Adequado; classificação original.</x:v>
      </x:c>
    </x:row>
    <x:row r="7">
      <x:c r="A7" t="str">
        <x:v>ORIGINAL</x:v>
      </x:c>
      <x:c r="B7" t="str">
        <x:v>acertos e itens</x:v>
      </x:c>
      <x:c r="C7" t="str">
        <x:v>Soma dos numeradores e denominadores de todas as habilidades da forma respectiva.</x:v>
      </x:c>
    </x:row>
    <x:row r="8">
      <x:c r="A8" t="str">
        <x:v>CALCULADO</x:v>
      </x:c>
      <x:c r="B8" t="str">
        <x:v>adequado_caed</x:v>
      </x:c>
      <x:c r="C8" t="str">
        <x:v>1 se nivel_caed = Adequado; caso contrário 0.</x:v>
      </x:c>
    </x:row>
    <x:row r="9">
      <x:c r="A9" t="str">
        <x:v>CALCULADO</x:v>
      </x:c>
      <x:c r="B9" t="str">
        <x:v>taxa_acertos</x:v>
      </x:c>
      <x:c r="C9" t="str">
        <x:v>acertos / itens; proporção 0-1.</x:v>
      </x:c>
    </x:row>
    <x:row r="10">
      <x:c r="A10" t="str">
        <x:v>INFERIDO</x:v>
      </x:c>
      <x:c r="B10" t="str">
        <x:v>corte_observado</x:v>
      </x:c>
      <x:c r="C10" t="str">
        <x:v>Mínimo total de acertos entre os classificados Adequado naquela forma. NÃO é um ponto de corte CAEd publicado.</x:v>
      </x:c>
    </x:row>
    <x:row r="11">
      <x:c r="A11" t="str">
        <x:v>CALCULADO</x:v>
      </x:c>
      <x:c r="B11" t="str">
        <x:v>faltam_acertos_corte</x:v>
      </x:c>
      <x:c r="C11" t="str">
        <x:v>max(0, corte_observado - acertos); aproximação aritmética.</x:v>
      </x:c>
    </x:row>
    <x:row r="12">
      <x:c r="A12" t="str">
        <x:v>CALCULADO</x:v>
      </x:c>
      <x:c r="B12" t="str">
        <x:v>pearson_acertos_ref_contra</x:v>
      </x:c>
      <x:c r="C12" t="str">
        <x:v>Correlação de Pearson apenas entre estudantes identificados em ambas as formas, usando totais em 22 itens.</x:v>
      </x:c>
    </x:row>
    <x:row r="13">
      <x:c r="A13" t="str">
        <x:v>CENARIO</x:v>
      </x:c>
      <x:c r="B13" t="str">
        <x:v>ganho_hipotetico_acertos_por_aluno</x:v>
      </x:c>
      <x:c r="C13" t="str">
        <x:v>Simulação +k respostas corretas para cada estudante, sem dados longitudinais ou probabilidade calibrada.</x:v>
      </x:c>
    </x:row>
    <x:row r="14">
      <x:c r="A14" t="str">
        <x:v>CENARIO</x:v>
      </x:c>
      <x:c r="B14" t="str">
        <x:v>soma_lacunas_minima_grupo_prioritario</x:v>
      </x:c>
      <x:c r="C14" t="str">
        <x:v>Somatório das menores lacunas de acertos, para atingir 80% de Adequado, assumindo acertos independentes.</x:v>
      </x:c>
    </x:row>
    <x:row r="15">
      <x:c r="A15" t="str">
        <x:v>ATENCAO</x:v>
      </x:c>
      <x:c r="B15" t="str">
        <x:v>habilidade</x:v>
      </x:c>
      <x:c r="C15" t="str">
        <x:v>Hxx deve ser interpretada dentro da sua forma; conjuntos têm números de H diferentes; equivalência entre versões não está documentada.</x:v>
      </x:c>
    </x:row>
    <x:row r="16">
      <x:c r="A16" t="str">
        <x:v>ATENCAO</x:v>
      </x:c>
      <x:c r="B16" t="str">
        <x:v>data_da_aplicacao</x:v>
      </x:c>
      <x:c r="C16" t="str">
        <x:v>Não disponível. 30-07-2026 09h... no arquivo é data/hora de EXPORTAÇÃO.</x:v>
      </x:c>
    </x:row>
    <x:row r="17">
      <x:c r="A17" t="str">
        <x:v>ATENCAO</x:v>
      </x:c>
      <x:c r="B17" t="str">
        <x:v>percentual_aprendizagem_alfabetizacao</x:v>
      </x:c>
      <x:c r="C17" t="str">
        <x:v>Não confundir com condição de leitor/não leitor de outro instrumento.</x:v>
      </x:c>
    </x:row>
  </x:sheetData>
  <x:pageMargins left="0.7" right="0.7" top="0.75" bottom="0.75" header="0.3" footer="0.3"/>
</x:worksheet>
</file>