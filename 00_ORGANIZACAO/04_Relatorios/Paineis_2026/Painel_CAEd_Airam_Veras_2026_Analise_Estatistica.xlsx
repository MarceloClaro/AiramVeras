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7e684f6fb46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2f5804435aa4ca7"/>
    <x:sheet xmlns:r="http://schemas.openxmlformats.org/officeDocument/2006/relationships" name="Habilidades" sheetId="2" r:id="R86f610aa745d4015"/>
    <x:sheet xmlns:r="http://schemas.openxmlformats.org/officeDocument/2006/relationships" name="Projecoes" sheetId="3" r:id="R9976f3db936d45ac"/>
    <x:sheet xmlns:r="http://schemas.openxmlformats.org/officeDocument/2006/relationships" name="Alunos_Intervencao" sheetId="4" r:id="R82cabbd997c24388"/>
    <x:sheet xmlns:r="http://schemas.openxmlformats.org/officeDocument/2006/relationships" name="Dados_Contraprova" sheetId="5" r:id="R3c8a66124ddf40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&quot; p.p.&quot;"/>
    <x:numFmt numFmtId="202" formatCode="0.00"/>
    <x:numFmt numFmtId="203" formatCode="0.0"/>
    <x:numFmt numFmtId="204" formatCode="0.0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365F91"/>
      <x:name val="Carlito"/>
    </x:font>
    <x:font>
      <x:b/>
      <x:sz val="11"/>
      <x:color rgb="FFFFFFFF"/>
      <x:name val="Carlito"/>
    </x:font>
    <x:font>
      <x:b/>
      <x:sz val="11"/>
      <x:color rgb="FFA63B32"/>
      <x:name val="Carlito"/>
    </x:font>
    <x:font>
      <x:b/>
      <x:sz val="11"/>
      <x:color rgb="FF6B4F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F542A"/>
      </x:patternFill>
    </x:fill>
    <x:fill>
      <x:patternFill patternType="solid">
        <x:fgColor rgb="FFEAF2E4"/>
      </x:patternFill>
    </x:fill>
    <x:fill>
      <x:patternFill patternType="solid">
        <x:fgColor rgb="FF3F6F36"/>
      </x:patternFill>
    </x:fill>
    <x:fill>
      <x:patternFill patternType="solid">
        <x:fgColor rgb="FFF6E3E1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c18080618246f3" /><Relationship Type="http://schemas.openxmlformats.org/officeDocument/2006/relationships/theme" Target="/xl/theme/theme1.xml" Id="Rad33ac70794e4809" /><Relationship Type="http://schemas.openxmlformats.org/officeDocument/2006/relationships/sharedStrings" Target="/xl/sharedStrings.xml" Id="R4ce376d14ceb4aa2" /><Relationship Type="http://schemas.openxmlformats.org/officeDocument/2006/relationships/worksheet" Target="/xl/worksheets/sheet1.xml" Id="Rf2f5804435aa4ca7" /><Relationship Type="http://schemas.openxmlformats.org/officeDocument/2006/relationships/worksheet" Target="/xl/worksheets/sheet2.xml" Id="R86f610aa745d4015" /><Relationship Type="http://schemas.openxmlformats.org/officeDocument/2006/relationships/worksheet" Target="/xl/worksheets/sheet3.xml" Id="R9976f3db936d45ac" /><Relationship Type="http://schemas.openxmlformats.org/officeDocument/2006/relationships/worksheet" Target="/xl/worksheets/sheet4.xml" Id="R82cabbd997c24388" /><Relationship Type="http://schemas.openxmlformats.org/officeDocument/2006/relationships/worksheet" Target="/xl/worksheets/sheet5.xml" Id="R3c8a66124ddf40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f83e4583e34384" /><Relationship Type="http://schemas.openxmlformats.org/officeDocument/2006/relationships/chart" Target="/xl/drawings/charts/chart2.xml" Id="R34fbe9fb0ab8439a" /><Relationship Type="http://schemas.openxmlformats.org/officeDocument/2006/relationships/chart" Target="/xl/drawings/charts/chart3.xml" Id="R28dfee730a3c4c9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Adequados atuais x mínimo para 80%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Adequados atuais</c:v>
          </c:tx>
          <c:cat>
            <c:strRef>
              <c:f>'Dashboard'!$R$2:$R$3</c:f>
              <c:strCache>
                <c:ptCount val="0"/>
              </c:strCache>
            </c:strRef>
          </c:cat>
          <c:val>
            <c:numRef>
              <c:f>'Dashboard'!$S$2:$S$3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Mínimo p/80%</c:v>
          </c:tx>
          <c:cat>
            <c:strRef>
              <c:f>'Dashboard'!$R$2:$R$3</c:f>
              <c:strCache>
                <c:ptCount val="0"/>
              </c:strCache>
            </c:strRef>
          </c:cat>
          <c:val>
            <c:numRef>
              <c:f>'Dashboard'!$T$2:$T$3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Referência x contraprova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Aplicação de referência</c:v>
          </c:tx>
          <c:cat>
            <c:strRef>
              <c:f>'Dashboard'!$R$6:$R$7</c:f>
              <c:strCache>
                <c:ptCount val="0"/>
              </c:strCache>
            </c:strRef>
          </c:cat>
          <c:val>
            <c:numRef>
              <c:f>'Dashboard'!$S$6:$S$7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Contraprova</c:v>
          </c:tx>
          <c:cat>
            <c:strRef>
              <c:f>'Dashboard'!$R$6:$R$7</c:f>
              <c:strCache>
                <c:ptCount val="0"/>
              </c:strCache>
            </c:strRef>
          </c:cat>
          <c:val>
            <c:numRef>
              <c:f>'Dashboard'!$T$6:$T$7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Distância nominal até a meta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Adequados atuais</c:v>
          </c:tx>
          <c:cat>
            <c:strRef>
              <c:f>'Dashboard'!$R$2:$R$3</c:f>
              <c:strCache>
                <c:ptCount val="0"/>
              </c:strCache>
            </c:strRef>
          </c:cat>
          <c:val>
            <c:numRef>
              <c:f>'Dashboard'!$S$2:$S$3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Mínimo p/80%</c:v>
          </c:tx>
          <c:cat>
            <c:strRef>
              <c:f>'Dashboard'!$R$2:$R$3</c:f>
              <c:strCache>
                <c:ptCount val="0"/>
              </c:strCache>
            </c:strRef>
          </c:cat>
          <c:val>
            <c:numRef>
              <c:f>'Dashboard'!$T$2:$T$3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f83e4583e34384"/>
        </a:graphicData>
      </a:graphic>
    </xdr:graphicFrame>
    <xdr:clientData/>
  </xdr:twoCellAnchor>
  <xdr:twoCellAnchor>
    <xdr:from>
      <xdr:col>9</xdr:col>
      <xdr:colOff>0</xdr:colOff>
      <xdr:row>16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fbe9fb0ab8439a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8</xdr:col>
      <xdr:colOff>0</xdr:colOff>
      <xdr:row>35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dfee730a3c4c9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tervencaoTable" displayName="IntervencaoTable" ref="A4:V56" headerRowCount="1">
  <x:tableColumns count="22">
    <x:tableColumn id="1" name="Turma"/>
    <x:tableColumn id="2" name="Estudante"/>
    <x:tableColumn id="3" name="Nível"/>
    <x:tableColumn id="4" name="Pontos"/>
    <x:tableColumn id="5" name="Itens"/>
    <x:tableColumn id="6" name="% Contraprova"/>
    <x:tableColumn id="7" name="Corte"/>
    <x:tableColumn id="8" name="Acertos faltantes"/>
    <x:tableColumn id="9" name="Grupo-alvo"/>
    <x:tableColumn id="10" name="% Referência"/>
    <x:tableColumn id="11" name="H01"/>
    <x:tableColumn id="12" name="H02"/>
    <x:tableColumn id="13" name="H03"/>
    <x:tableColumn id="14" name="H04"/>
    <x:tableColumn id="15" name="H05"/>
    <x:tableColumn id="16" name="H06"/>
    <x:tableColumn id="17" name="H07"/>
    <x:tableColumn id="18" name="H08"/>
    <x:tableColumn id="19" name="H09"/>
    <x:tableColumn id="20" name="H10"/>
    <x:tableColumn id="21" name="H11"/>
    <x:tableColumn id="22" name="Habilidades prioritári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8b1dce4c98a4e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8420fa8b1eb9425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14" hidden="0" customWidth="1"/>
    <x:col min="5" max="5" width="16" hidden="0" customWidth="1"/>
    <x:col min="6" max="6" width="20" hidden="0" customWidth="1"/>
    <x:col min="7" max="7" width="17" hidden="0" customWidth="1"/>
    <x:col min="8" max="8" width="25" hidden="0" customWidth="1"/>
  </x:cols>
  <x:sheetData>
    <x:row r="1" ht="22" customHeight="1">
      <x:c r="A1" s="11" t="str">
        <x:v>ESCOLA DE CIDADANIA AIRAM VERAS - PAINEL CAEd 2026</x:v>
      </x:c>
      <x:c r="B1" s="11"/>
      <x:c r="C1" s="11"/>
      <x:c r="D1" s="11"/>
      <x:c r="E1" s="11"/>
      <x:c r="F1" s="11"/>
      <x:c r="G1" s="11"/>
      <x:c r="H1" s="11"/>
      <x:c r="R1" t="str">
        <x:v>Turma</x:v>
      </x:c>
      <x:c r="S1" t="str">
        <x:v>Adequados atuais</x:v>
      </x:c>
      <x:c r="T1" t="str">
        <x:v>Mínimo p/80%</x:v>
      </x:c>
    </x:row>
    <x:row r="2" ht="22" customHeight="1">
      <x:c r="A2" s="19" t="str">
        <x:v>Contraprova, habilidades prioritárias e projeção para a meta de 80%</x:v>
      </x:c>
      <x:c r="B2" s="19"/>
      <x:c r="C2" s="19"/>
      <x:c r="D2" s="19"/>
      <x:c r="E2" s="19"/>
      <x:c r="F2" s="19"/>
      <x:c r="G2" s="19"/>
      <x:c r="H2" s="19"/>
      <x:c r="R2" t="str">
        <x:v>1º ano</x:v>
      </x:c>
      <x:c r="S2" t="n">
        <x:v>10</x:v>
      </x:c>
      <x:c r="T2" t="n">
        <x:v>20</x:v>
      </x:c>
    </x:row>
    <x:row r="3" ht="22" customHeight="1">
      <x:c r="R3" t="str">
        <x:v>2º ano</x:v>
      </x:c>
      <x:c r="S3" t="n">
        <x:v>18</x:v>
      </x:c>
      <x:c r="T3" t="n">
        <x:v>23</x:v>
      </x:c>
    </x:row>
    <x:row r="4" ht="22" customHeight="1">
      <x:c r="A4" s="28" t="str">
        <x:v>Turma</x:v>
      </x:c>
      <x:c r="B4" s="28" t="str">
        <x:v>Avaliados</x:v>
      </x:c>
      <x:c r="C4" s="28" t="str">
        <x:v>Adequados</x:v>
      </x:c>
      <x:c r="D4" s="28" t="str">
        <x:v>% Adequado</x:v>
      </x:c>
      <x:c r="E4" s="28" t="str">
        <x:v>Mínimo p/ 80%</x:v>
      </x:c>
      <x:c r="F4" s="28" t="str">
        <x:v>Conversões necessárias</x:v>
      </x:c>
      <x:c r="G4" s="28" t="str">
        <x:v>Corte observado</x:v>
      </x:c>
      <x:c r="H4" s="28" t="str">
        <x:v>Acertos adicionais (grupo-alvo)</x:v>
      </x:c>
    </x:row>
    <x:row r="5" ht="22" customHeight="1">
      <x:c r="A5" s="42" t="str">
        <x:v>1º ano</x:v>
      </x:c>
      <x:c r="B5" s="42" t="n">
        <x:v>24</x:v>
      </x:c>
      <x:c r="C5" s="42" t="n">
        <x:v>10</x:v>
      </x:c>
      <x:c r="D5" s="43" t="n">
        <x:v>0.4166666666666667</x:v>
      </x:c>
      <x:c r="E5" s="42" t="n">
        <x:v>20</x:v>
      </x:c>
      <x:c r="F5" s="42" t="n">
        <x:v>10</x:v>
      </x:c>
      <x:c r="G5" s="42" t="str">
        <x:v>17/22</x:v>
      </x:c>
      <x:c r="H5" s="42" t="n">
        <x:v>20</x:v>
      </x:c>
      <x:c r="R5" t="str">
        <x:v>Turma</x:v>
      </x:c>
      <x:c r="S5" t="str">
        <x:v>Aplicação de referência</x:v>
      </x:c>
      <x:c r="T5" t="str">
        <x:v>Contraprova</x:v>
      </x:c>
    </x:row>
    <x:row r="6" ht="22" customHeight="1">
      <x:c r="A6" s="42" t="str">
        <x:v>2º ano</x:v>
      </x:c>
      <x:c r="B6" s="42" t="n">
        <x:v>28</x:v>
      </x:c>
      <x:c r="C6" s="42" t="n">
        <x:v>18</x:v>
      </x:c>
      <x:c r="D6" s="43" t="n">
        <x:v>0.6428571428571429</x:v>
      </x:c>
      <x:c r="E6" s="42" t="n">
        <x:v>23</x:v>
      </x:c>
      <x:c r="F6" s="42" t="n">
        <x:v>5</x:v>
      </x:c>
      <x:c r="G6" s="42" t="str">
        <x:v>16/22</x:v>
      </x:c>
      <x:c r="H6" s="42" t="n">
        <x:v>15</x:v>
      </x:c>
      <x:c r="R6" t="str">
        <x:v>1º ano</x:v>
      </x:c>
      <x:c r="S6" s="2" t="n">
        <x:v>0.5833333333333334</x:v>
      </x:c>
      <x:c r="T6" s="2" t="n">
        <x:v>0.4166666666666667</x:v>
      </x:c>
    </x:row>
    <x:row r="7" ht="22" customHeight="1">
      <x:c r="A7" s="42"/>
      <x:c r="B7" s="42"/>
      <x:c r="C7" s="42"/>
      <x:c r="D7" s="42"/>
      <x:c r="E7" s="42"/>
      <x:c r="F7" s="42"/>
      <x:c r="G7" s="42"/>
      <x:c r="H7" s="42"/>
      <x:c r="R7" t="str">
        <x:v>2º ano</x:v>
      </x:c>
      <x:c r="S7" s="2" t="n">
        <x:v>0.6153846153846154</x:v>
      </x:c>
      <x:c r="T7" s="2" t="n">
        <x:v>0.6428571428571429</x:v>
      </x:c>
    </x:row>
    <x:row r="8" ht="22" customHeight="1">
      <x:c r="A8" s="28" t="str">
        <x:v>Turma</x:v>
      </x:c>
      <x:c r="B8" s="28" t="str">
        <x:v>Aplicação de referência</x:v>
      </x:c>
      <x:c r="C8" s="28" t="str">
        <x:v>Contraprova</x:v>
      </x:c>
      <x:c r="D8" s="28" t="str">
        <x:v>Variação (p.p.)</x:v>
      </x:c>
      <x:c r="E8" s="42"/>
      <x:c r="F8" s="28" t="str">
        <x:v>Turma</x:v>
      </x:c>
      <x:c r="G8" s="28" t="str">
        <x:v>Pearson r entre aplicações</x:v>
      </x:c>
      <x:c r="H8" s="28" t="str">
        <x:v>Leitura</x:v>
      </x:c>
    </x:row>
    <x:row r="9" ht="22" customHeight="1">
      <x:c r="A9" s="42" t="str">
        <x:v>1º ano</x:v>
      </x:c>
      <x:c r="B9" s="43" t="n">
        <x:v>0.5833333333333334</x:v>
      </x:c>
      <x:c r="C9" s="43" t="n">
        <x:v>0.4166666666666667</x:v>
      </x:c>
      <x:c r="D9" s="44" t="n">
        <x:f>(C9-B9)*100</x:f>
        <x:v>-16.666666666666668</x:v>
      </x:c>
      <x:c r="E9" s="42"/>
      <x:c r="F9" s="42" t="str">
        <x:v>1º ano</x:v>
      </x:c>
      <x:c r="G9" s="45" t="n">
        <x:v>0.10744698688490707</x:v>
      </x:c>
      <x:c r="H9" s="42" t="str">
        <x:v>Muito fraca</x:v>
      </x:c>
    </x:row>
    <x:row r="10" ht="22" customHeight="1">
      <x:c r="A10" s="42" t="str">
        <x:v>2º ano</x:v>
      </x:c>
      <x:c r="B10" s="43" t="n">
        <x:v>0.6153846153846154</x:v>
      </x:c>
      <x:c r="C10" s="43" t="n">
        <x:v>0.6428571428571429</x:v>
      </x:c>
      <x:c r="D10" s="44" t="n">
        <x:f>(C10-B10)*100</x:f>
        <x:v>2.7472527472527486</x:v>
      </x:c>
      <x:c r="E10" s="42"/>
      <x:c r="F10" s="42" t="str">
        <x:v>2º ano</x:v>
      </x:c>
      <x:c r="G10" s="45" t="n">
        <x:v>0.5864046712365542</x:v>
      </x:c>
      <x:c r="H10" s="42" t="str">
        <x:v>Moderada</x:v>
      </x:c>
    </x:row>
    <x:row r="11" ht="22" customHeight="1">
      <x:c r="A11" s="42"/>
      <x:c r="B11" s="42"/>
      <x:c r="C11" s="42"/>
      <x:c r="D11" s="42"/>
      <x:c r="E11" s="42"/>
      <x:c r="F11" s="42"/>
      <x:c r="G11" s="42"/>
      <x:c r="H11" s="42"/>
    </x:row>
    <x:row r="12" ht="22" customHeight="1">
      <x:c r="A12" s="42"/>
      <x:c r="B12" s="42"/>
      <x:c r="C12" s="42"/>
      <x:c r="D12" s="42"/>
      <x:c r="E12" s="42"/>
      <x:c r="F12" s="42"/>
      <x:c r="G12" s="42"/>
      <x:c r="H12" s="42"/>
    </x:row>
    <x:row r="13" ht="22" customHeight="1">
      <x:c r="A13" s="28" t="str">
        <x:v>Turma</x:v>
      </x:c>
      <x:c r="B13" s="28" t="str">
        <x:v>Prioridade 1</x:v>
      </x:c>
      <x:c r="C13" s="28" t="str">
        <x:v>Domínio</x:v>
      </x:c>
      <x:c r="D13" s="28" t="str">
        <x:v>Prioridade 2</x:v>
      </x:c>
      <x:c r="E13" s="28" t="str">
        <x:v>Domínio</x:v>
      </x:c>
      <x:c r="F13" s="28" t="str">
        <x:v>Prioridade 3 / Domínio</x:v>
      </x:c>
      <x:c r="G13" s="42"/>
      <x:c r="H13" s="42"/>
    </x:row>
    <x:row r="14" ht="22" customHeight="1">
      <x:c r="A14" s="42" t="str">
        <x:v>1º ano</x:v>
      </x:c>
      <x:c r="B14" s="42" t="str">
        <x:v>H 04</x:v>
      </x:c>
      <x:c r="C14" s="43" t="n">
        <x:v>0.5</x:v>
      </x:c>
      <x:c r="D14" s="42" t="str">
        <x:v>H 07</x:v>
      </x:c>
      <x:c r="E14" s="43" t="n">
        <x:v>0.6041666666666666</x:v>
      </x:c>
      <x:c r="F14" s="42" t="str">
        <x:v>H 02 - 75.0%</x:v>
      </x:c>
      <x:c r="G14" s="42"/>
      <x:c r="H14" s="42"/>
    </x:row>
    <x:row r="15" ht="22" customHeight="1">
      <x:c r="A15" s="42" t="str">
        <x:v>2º ano</x:v>
      </x:c>
      <x:c r="B15" s="42" t="str">
        <x:v>H 07</x:v>
      </x:c>
      <x:c r="C15" s="43" t="n">
        <x:v>0.48214285714285715</x:v>
      </x:c>
      <x:c r="D15" s="42" t="str">
        <x:v>H 01</x:v>
      </x:c>
      <x:c r="E15" s="43" t="n">
        <x:v>0.35714285714285715</x:v>
      </x:c>
      <x:c r="F15" s="42" t="str">
        <x:v>H 08 - 57.1%</x:v>
      </x:c>
      <x:c r="G15" s="42"/>
      <x:c r="H15" s="42"/>
    </x:row>
    <x:row r="16" ht="22" customHeight="1">
      <x:c r="A16" s="42"/>
      <x:c r="B16" s="42"/>
      <x:c r="C16" s="42"/>
      <x:c r="D16" s="42"/>
      <x:c r="E16" s="42"/>
      <x:c r="F16" s="42"/>
      <x:c r="G16" s="42"/>
      <x:c r="H16" s="42"/>
    </x:row>
    <x:row r="17" ht="22" customHeight="1">
      <x:c r="A17" s="42"/>
      <x:c r="B17" s="42"/>
      <x:c r="C17" s="42"/>
      <x:c r="D17" s="42"/>
      <x:c r="E17" s="42"/>
      <x:c r="F17" s="42"/>
      <x:c r="G17" s="42"/>
      <x:c r="H17" s="42"/>
    </x:row>
    <x:row r="18" ht="22" customHeight="1">
      <x:c r="A18" s="37" t="str">
        <x:v>ALERTA: no 2º ano há 3 registros com zero em todas as habilidades; verificar ausência, prova em branco ou lançamento.</x:v>
      </x:c>
      <x:c r="B18" s="37"/>
      <x:c r="C18" s="37"/>
      <x:c r="D18" s="37"/>
      <x:c r="E18" s="37"/>
      <x:c r="F18" s="37"/>
      <x:c r="G18" s="37"/>
      <x:c r="H18" s="37"/>
    </x:row>
  </x:sheetData>
  <x:mergeCells>
    <x:mergeCell ref="A1:H1"/>
    <x:mergeCell ref="A2:H2"/>
    <x:mergeCell ref="A18:H18"/>
  </x:mergeCells>
  <x:pageMargins left="0.7" right="0.7" top="0.75" bottom="0.75" header="0.3" footer="0.3"/>
  <x:drawing xmlns:r="http://schemas.openxmlformats.org/officeDocument/2006/relationships" r:id="Rc8b1dce4c98a4ee9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4" hidden="0" customWidth="1"/>
    <x:col min="4" max="4" width="14" hidden="0" customWidth="1"/>
    <x:col min="5" max="5" width="18" hidden="0" customWidth="1"/>
    <x:col min="6" max="6" width="16" hidden="0" customWidth="1"/>
    <x:col min="7" max="7" width="18" hidden="0" customWidth="1"/>
  </x:cols>
  <x:sheetData>
    <x:row r="1">
      <x:c r="A1" s="11" t="str">
        <x:v>ANÁLISE DE HABILIDADES - CONTRAPROVA CAEd</x:v>
      </x:c>
      <x:c r="B1" s="11"/>
      <x:c r="C1" s="11"/>
      <x:c r="D1" s="11"/>
      <x:c r="E1" s="11"/>
      <x:c r="F1" s="11"/>
      <x:c r="G1" s="11"/>
    </x:row>
    <x:row r="2">
      <x:c r="A2" s="19" t="str">
        <x:v>Prioridade combina baixo domínio, correlação com adequação e correlação item-total corrigida.</x:v>
      </x:c>
      <x:c r="B2" s="19"/>
      <x:c r="C2" s="19"/>
      <x:c r="D2" s="19"/>
      <x:c r="E2" s="19"/>
      <x:c r="F2" s="19"/>
      <x:c r="G2" s="19"/>
    </x:row>
    <x:row r="4">
      <x:c r="A4" s="28" t="str">
        <x:v>Turma</x:v>
      </x:c>
      <x:c r="B4" s="28" t="str">
        <x:v>Ordem</x:v>
      </x:c>
      <x:c r="C4" s="28" t="str">
        <x:v>Habilidade</x:v>
      </x:c>
      <x:c r="D4" s="28" t="str">
        <x:v>Domínio</x:v>
      </x:c>
      <x:c r="E4" s="28" t="str">
        <x:v>r com adequação</x:v>
      </x:c>
      <x:c r="F4" s="28" t="str">
        <x:v>r item-total</x:v>
      </x:c>
      <x:c r="G4" s="28" t="str">
        <x:v>Índice de prioridade</x:v>
      </x:c>
    </x:row>
    <x:row r="5">
      <x:c r="A5" s="42" t="str">
        <x:v>1º ano</x:v>
      </x:c>
      <x:c r="B5" s="42" t="n">
        <x:v>1</x:v>
      </x:c>
      <x:c r="C5" s="42" t="str">
        <x:v>H 04</x:v>
      </x:c>
      <x:c r="D5" s="43" t="n">
        <x:v>0.5</x:v>
      </x:c>
      <x:c r="E5" s="45" t="n">
        <x:v>0.648074069840786</x:v>
      </x:c>
      <x:c r="F5" s="45" t="n">
        <x:v>0.5020790110464023</x:v>
      </x:c>
      <x:c r="G5" s="45" t="n">
        <x:v>0.33368049264729727</x:v>
      </x:c>
    </x:row>
    <x:row r="6">
      <x:c r="A6" s="42" t="str">
        <x:v>1º ano</x:v>
      </x:c>
      <x:c r="B6" s="42" t="n">
        <x:v>2</x:v>
      </x:c>
      <x:c r="C6" s="42" t="str">
        <x:v>H 07</x:v>
      </x:c>
      <x:c r="D6" s="43" t="n">
        <x:v>0.6041666666666666</x:v>
      </x:c>
      <x:c r="E6" s="45" t="n">
        <x:v>0.6132321838437325</x:v>
      </x:c>
      <x:c r="F6" s="45" t="n">
        <x:v>0.5381037411077845</x:v>
      </x:c>
      <x:c r="G6" s="45" t="n">
        <x:v>0.2629484385464725</x:v>
      </x:c>
    </x:row>
    <x:row r="7">
      <x:c r="A7" s="42" t="str">
        <x:v>1º ano</x:v>
      </x:c>
      <x:c r="B7" s="42" t="n">
        <x:v>3</x:v>
      </x:c>
      <x:c r="C7" s="42" t="str">
        <x:v>H 02</x:v>
      </x:c>
      <x:c r="D7" s="43" t="n">
        <x:v>0.75</x:v>
      </x:c>
      <x:c r="E7" s="45" t="n">
        <x:v>0.7319250547113999</x:v>
      </x:c>
      <x:c r="F7" s="45" t="n">
        <x:v>0.5827715174143587</x:v>
      </x:c>
      <x:c r="G7" s="45" t="n">
        <x:v>0.18333407642878885</x:v>
      </x:c>
    </x:row>
    <x:row r="8">
      <x:c r="A8" s="42" t="str">
        <x:v>1º ano</x:v>
      </x:c>
      <x:c r="B8" s="42" t="n">
        <x:v>4</x:v>
      </x:c>
      <x:c r="C8" s="42" t="str">
        <x:v>H 05</x:v>
      </x:c>
      <x:c r="D8" s="43" t="n">
        <x:v>0.625</x:v>
      </x:c>
      <x:c r="E8" s="45" t="n">
        <x:v>0.3787121779398485</x:v>
      </x:c>
      <x:c r="F8" s="45" t="n">
        <x:v>0.30174381569925673</x:v>
      </x:c>
      <x:c r="G8" s="45" t="n">
        <x:v>0.17851155583787687</x:v>
      </x:c>
    </x:row>
    <x:row r="9">
      <x:c r="A9" s="42" t="str">
        <x:v>1º ano</x:v>
      </x:c>
      <x:c r="B9" s="42" t="n">
        <x:v>5</x:v>
      </x:c>
      <x:c r="C9" s="42" t="str">
        <x:v>H 01</x:v>
      </x:c>
      <x:c r="D9" s="43" t="n">
        <x:v>0.8333333333333334</x:v>
      </x:c>
      <x:c r="E9" s="45" t="n">
        <x:v>0.5976143046671969</x:v>
      </x:c>
      <x:c r="F9" s="45" t="n">
        <x:v>0.5073610689019095</x:v>
      </x:c>
      <x:c r="G9" s="45" t="n">
        <x:v>0.10775046853598447</x:v>
      </x:c>
    </x:row>
    <x:row r="10">
      <x:c r="A10" s="42" t="str">
        <x:v>1º ano</x:v>
      </x:c>
      <x:c r="B10" s="42" t="n">
        <x:v>6</x:v>
      </x:c>
      <x:c r="C10" s="42" t="str">
        <x:v>H 03</x:v>
      </x:c>
      <x:c r="D10" s="43" t="n">
        <x:v>0.8472222222222222</x:v>
      </x:c>
      <x:c r="E10" s="45" t="n">
        <x:v>0.6078080037565888</x:v>
      </x:c>
      <x:c r="F10" s="45" t="n">
        <x:v>0.506304237547066</x:v>
      </x:c>
      <x:c r="G10" s="45" t="n">
        <x:v>0.09941556851599055</x:v>
      </x:c>
    </x:row>
    <x:row r="11">
      <x:c r="A11" s="42" t="str">
        <x:v>1º ano</x:v>
      </x:c>
      <x:c r="B11" s="42" t="n">
        <x:v>7</x:v>
      </x:c>
      <x:c r="C11" s="42" t="str">
        <x:v>H 08</x:v>
      </x:c>
      <x:c r="D11" s="43" t="n">
        <x:v>0.8541666666666666</x:v>
      </x:c>
      <x:c r="E11" s="45" t="n">
        <x:v>0.14387999942448002</x:v>
      </x:c>
      <x:c r="F11" s="45" t="n">
        <x:v>-0.0810595836588491</x:v>
      </x:c>
      <x:c r="G11" s="45" t="n">
        <x:v>0.03860879162889818</x:v>
      </x:c>
    </x:row>
    <x:row r="12">
      <x:c r="A12" s="42" t="str">
        <x:v>1º ano</x:v>
      </x:c>
      <x:c r="B12" s="42" t="n">
        <x:v>8</x:v>
      </x:c>
      <x:c r="C12" s="42" t="str">
        <x:v>H 06</x:v>
      </x:c>
      <x:c r="D12" s="43" t="n">
        <x:v>0.9027777777777777</x:v>
      </x:c>
      <x:c r="E12" s="45" t="n">
        <x:v>0.1704453597146584</x:v>
      </x:c>
      <x:c r="F12" s="45" t="n">
        <x:v>0.1675284287144685</x:v>
      </x:c>
      <x:c r="G12" s="45" t="n">
        <x:v>0.032602049075717</x:v>
      </x:c>
    </x:row>
    <x:row r="13">
      <x:c r="A13" s="42" t="str">
        <x:v>1º ano</x:v>
      </x:c>
      <x:c r="B13" s="42" t="n">
        <x:v>9</x:v>
      </x:c>
      <x:c r="C13" s="42" t="str">
        <x:v>H 09</x:v>
      </x:c>
      <x:c r="D13" s="43" t="n">
        <x:v>1</x:v>
      </x:c>
      <x:c r="E13" s="45"/>
      <x:c r="F13" s="45"/>
      <x:c r="G13" s="45" t="n">
        <x:v>0</x:v>
      </x:c>
    </x:row>
    <x:row r="14">
      <x:c r="A14" s="42" t="str">
        <x:v>2º ano</x:v>
      </x:c>
      <x:c r="B14" s="42" t="n">
        <x:v>1</x:v>
      </x:c>
      <x:c r="C14" s="42" t="str">
        <x:v>H 07</x:v>
      </x:c>
      <x:c r="D14" s="43" t="n">
        <x:v>0.48214285714285715</x:v>
      </x:c>
      <x:c r="E14" s="45" t="n">
        <x:v>0.7827658186498824</x:v>
      </x:c>
      <x:c r="F14" s="45" t="n">
        <x:v>0.6870532537628556</x:v>
      </x:c>
      <x:c r="G14" s="45" t="n">
        <x:v>0.41051222248346336</x:v>
      </x:c>
    </x:row>
    <x:row r="15">
      <x:c r="A15" s="42" t="str">
        <x:v>2º ano</x:v>
      </x:c>
      <x:c r="B15" s="42" t="n">
        <x:v>2</x:v>
      </x:c>
      <x:c r="C15" s="42" t="str">
        <x:v>H 01</x:v>
      </x:c>
      <x:c r="D15" s="43" t="n">
        <x:v>0.35714285714285715</x:v>
      </x:c>
      <x:c r="E15" s="45" t="n">
        <x:v>0.5456606744659311</x:v>
      </x:c>
      <x:c r="F15" s="45" t="n">
        <x:v>0.5185687062383533</x:v>
      </x:c>
      <x:c r="G15" s="45" t="n">
        <x:v>0.40310122544555954</x:v>
      </x:c>
    </x:row>
    <x:row r="16">
      <x:c r="A16" s="42" t="str">
        <x:v>2º ano</x:v>
      </x:c>
      <x:c r="B16" s="42" t="n">
        <x:v>3</x:v>
      </x:c>
      <x:c r="C16" s="42" t="str">
        <x:v>H 08</x:v>
      </x:c>
      <x:c r="D16" s="43" t="n">
        <x:v>0.5714285714285714</x:v>
      </x:c>
      <x:c r="E16" s="45" t="n">
        <x:v>0.5450865450217846</x:v>
      </x:c>
      <x:c r="F16" s="45" t="n">
        <x:v>0.6368025732076023</x:v>
      </x:c>
      <x:c r="G16" s="45" t="n">
        <x:v>0.28635850537819885</x:v>
      </x:c>
    </x:row>
    <x:row r="17">
      <x:c r="A17" s="42" t="str">
        <x:v>2º ano</x:v>
      </x:c>
      <x:c r="B17" s="42" t="n">
        <x:v>4</x:v>
      </x:c>
      <x:c r="C17" s="42" t="str">
        <x:v>H 02</x:v>
      </x:c>
      <x:c r="D17" s="43" t="n">
        <x:v>0.7142857142857143</x:v>
      </x:c>
      <x:c r="E17" s="45" t="n">
        <x:v>0.6617241025372945</x:v>
      </x:c>
      <x:c r="F17" s="45" t="n">
        <x:v>0.7350420142812745</x:v>
      </x:c>
      <x:c r="G17" s="45" t="n">
        <x:v>0.21572587175435098</x:v>
      </x:c>
    </x:row>
    <x:row r="18">
      <x:c r="A18" s="42" t="str">
        <x:v>2º ano</x:v>
      </x:c>
      <x:c r="B18" s="42" t="n">
        <x:v>5</x:v>
      </x:c>
      <x:c r="C18" s="42" t="str">
        <x:v>H 06</x:v>
      </x:c>
      <x:c r="D18" s="43" t="n">
        <x:v>0.75</x:v>
      </x:c>
      <x:c r="E18" s="45" t="n">
        <x:v>0.765258724244735</x:v>
      </x:c>
      <x:c r="F18" s="45" t="n">
        <x:v>0.880193557812931</x:v>
      </x:c>
      <x:c r="G18" s="45" t="n">
        <x:v>0.21310854278616415</x:v>
      </x:c>
    </x:row>
    <x:row r="19">
      <x:c r="A19" s="42" t="str">
        <x:v>2º ano</x:v>
      </x:c>
      <x:c r="B19" s="42" t="n">
        <x:v>6</x:v>
      </x:c>
      <x:c r="C19" s="42" t="str">
        <x:v>H 05</x:v>
      </x:c>
      <x:c r="D19" s="43" t="n">
        <x:v>0.7321428571428571</x:v>
      </x:c>
      <x:c r="E19" s="45" t="n">
        <x:v>0.6181124936371434</x:v>
      </x:c>
      <x:c r="F19" s="45" t="n">
        <x:v>0.8237623520210089</x:v>
      </x:c>
      <x:c r="G19" s="45" t="n">
        <x:v>0.2053037800028753</x:v>
      </x:c>
    </x:row>
    <x:row r="20">
      <x:c r="A20" s="42" t="str">
        <x:v>2º ano</x:v>
      </x:c>
      <x:c r="B20" s="42" t="n">
        <x:v>7</x:v>
      </x:c>
      <x:c r="C20" s="42" t="str">
        <x:v>H 10</x:v>
      </x:c>
      <x:c r="D20" s="43" t="n">
        <x:v>0.7857142857142857</x:v>
      </x:c>
      <x:c r="E20" s="45" t="n">
        <x:v>0.7410482726333564</x:v>
      </x:c>
      <x:c r="F20" s="45" t="n">
        <x:v>0.8560123554712394</x:v>
      </x:c>
      <x:c r="G20" s="45" t="n">
        <x:v>0.17851629580713088</x:v>
      </x:c>
    </x:row>
    <x:row r="21">
      <x:c r="A21" s="42" t="str">
        <x:v>2º ano</x:v>
      </x:c>
      <x:c r="B21" s="42" t="n">
        <x:v>8</x:v>
      </x:c>
      <x:c r="C21" s="42" t="str">
        <x:v>H 11</x:v>
      </x:c>
      <x:c r="D21" s="43" t="n">
        <x:v>0.7678571428571429</x:v>
      </x:c>
      <x:c r="E21" s="45" t="n">
        <x:v>0.6481518101701047</x:v>
      </x:c>
      <x:c r="F21" s="45" t="n">
        <x:v>0.7909656583294539</x:v>
      </x:c>
      <x:c r="G21" s="45" t="n">
        <x:v>0.1784032470516808</x:v>
      </x:c>
    </x:row>
    <x:row r="22">
      <x:c r="A22" s="42" t="str">
        <x:v>2º ano</x:v>
      </x:c>
      <x:c r="B22" s="42" t="n">
        <x:v>9</x:v>
      </x:c>
      <x:c r="C22" s="42" t="str">
        <x:v>H 04</x:v>
      </x:c>
      <x:c r="D22" s="43" t="n">
        <x:v>0.7678571428571429</x:v>
      </x:c>
      <x:c r="E22" s="45" t="n">
        <x:v>0.6087471555705246</x:v>
      </x:c>
      <x:c r="F22" s="45" t="n">
        <x:v>0.7772484280599842</x:v>
      </x:c>
      <x:c r="G22" s="45" t="n">
        <x:v>0.17317234299572312</x:v>
      </x:c>
    </x:row>
    <x:row r="23">
      <x:c r="A23" s="42" t="str">
        <x:v>2º ano</x:v>
      </x:c>
      <x:c r="B23" s="42" t="n">
        <x:v>10</x:v>
      </x:c>
      <x:c r="C23" s="42" t="str">
        <x:v>H 03</x:v>
      </x:c>
      <x:c r="D23" s="43" t="n">
        <x:v>0.8035714285714286</x:v>
      </x:c>
      <x:c r="E23" s="45" t="n">
        <x:v>0.5220729368510383</x:v>
      </x:c>
      <x:c r="F23" s="45" t="n">
        <x:v>0.7000947203865652</x:v>
      </x:c>
      <x:c r="G23" s="45" t="n">
        <x:v>0.13356474483751632</x:v>
      </x:c>
    </x:row>
    <x:row r="24">
      <x:c r="A24" s="42" t="str">
        <x:v>2º ano</x:v>
      </x:c>
      <x:c r="B24" s="42" t="n">
        <x:v>11</x:v>
      </x:c>
      <x:c r="C24" s="42" t="str">
        <x:v>H 09</x:v>
      </x:c>
      <x:c r="D24" s="43" t="n">
        <x:v>0.8571428571428571</x:v>
      </x:c>
      <x:c r="E24" s="45" t="n">
        <x:v>0.5926377579897536</x:v>
      </x:c>
      <x:c r="F24" s="45" t="n">
        <x:v>0.8064788841804509</x:v>
      </x:c>
      <x:c r="G24" s="45" t="n">
        <x:v>0.10699351436550672</x:v>
      </x:c>
    </x:row>
  </x:sheetData>
  <x:mergeCells>
    <x:mergeCell ref="A1:G1"/>
    <x:mergeCell ref="A2:G2"/>
  </x:mergeCells>
  <x:conditionalFormatting sqref="D5:D24">
    <x:cfRule type="colorScale" priority="1">
      <x:colorScale>
        <x:cfvo type="min"/>
        <x:cfvo type="percentile" val="50"/>
        <x:cfvo type="max"/>
        <x:color rgb="FFF6E3E1"/>
        <x:color rgb="FFFFF2CC"/>
        <x:color rgb="FFEAF2E4"/>
      </x:colorScale>
    </x:cfRule>
  </x:conditionalFormatting>
  <x:conditionalFormatting sqref="G5:G24">
    <x:cfRule type="dataBar" priority="2">
      <x:dataBar>
        <x:cfvo type="min"/>
        <x:cfvo type="max"/>
        <x:color rgb="FF365F91"/>
      </x:dataBar>
      <x:extLst>
        <x:ext xmlns:x14="http://schemas.microsoft.com/office/spreadsheetml/2009/9/main" uri="{B025F937-C7B1-47D3-B67F-A62EFF666E3E}">
          <x14:id>{779357E1-3B8E-36E8-8510-953DDBE8B368}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79357E1-3B8E-36E8-8510-953DDBE8B368}">
            <x14:dataBar gradient="1">
              <x14:cfvo type="min"/>
              <x14:cfvo type="max"/>
              <x14:fillColor rgb="FF365F91"/>
            </x14:dataBar>
          </x14:cfRule>
          <xm:sqref>G5:G24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18" hidden="0" customWidth="1"/>
    <x:col min="5" max="5" width="15" hidden="0" customWidth="1"/>
    <x:col min="6" max="6" width="12" hidden="0" customWidth="1"/>
    <x:col min="7" max="7" width="18" hidden="0" customWidth="1"/>
    <x:col min="8" max="8" width="22" hidden="0" customWidth="1"/>
  </x:cols>
  <x:sheetData>
    <x:row r="1">
      <x:c r="A1" s="60" t="str">
        <x:v>PROJEÇÕES OPERACIONAIS PARA A META DE 80%</x:v>
      </x:c>
      <x:c r="B1" s="60"/>
      <x:c r="C1" s="60"/>
      <x:c r="D1" s="60"/>
      <x:c r="E1" s="60"/>
      <x:c r="F1" s="60"/>
      <x:c r="G1" s="60"/>
      <x:c r="H1" s="60"/>
    </x:row>
    <x:row r="2">
      <x:c r="A2" s="61" t="str">
        <x:v>Cenários baseados no corte observado e no número mínimo de respostas adicionais corretas; não são previsões determinísticas.</x:v>
      </x:c>
      <x:c r="B2" s="61"/>
      <x:c r="C2" s="61"/>
      <x:c r="D2" s="61"/>
      <x:c r="E2" s="61"/>
      <x:c r="F2" s="61"/>
      <x:c r="G2" s="61"/>
      <x:c r="H2" s="61"/>
    </x:row>
    <x:row r="3">
      <x:c r="A3" s="42"/>
      <x:c r="B3" s="42"/>
      <x:c r="C3" s="42"/>
      <x:c r="D3" s="42"/>
      <x:c r="E3" s="42"/>
      <x:c r="F3" s="42"/>
      <x:c r="G3" s="42"/>
      <x:c r="H3" s="42"/>
    </x:row>
    <x:row r="4">
      <x:c r="A4" s="28" t="str">
        <x:v>Turma</x:v>
      </x:c>
      <x:c r="B4" s="28" t="str">
        <x:v>Avaliados</x:v>
      </x:c>
      <x:c r="C4" s="28" t="str">
        <x:v>Adequados atuais</x:v>
      </x:c>
      <x:c r="D4" s="28" t="str">
        <x:v>Meta nominal</x:v>
      </x:c>
      <x:c r="E4" s="28" t="str">
        <x:v>Conversões</x:v>
      </x:c>
      <x:c r="F4" s="28" t="str">
        <x:v>Corte</x:v>
      </x:c>
      <x:c r="G4" s="28" t="str">
        <x:v>Acertos adicionais</x:v>
      </x:c>
      <x:c r="H4" s="28" t="str">
        <x:v>Média por estudante-alvo</x:v>
      </x:c>
    </x:row>
    <x:row r="5">
      <x:c r="A5" s="42" t="str">
        <x:v>1º ano</x:v>
      </x:c>
      <x:c r="B5" s="42" t="n">
        <x:v>24</x:v>
      </x:c>
      <x:c r="C5" s="42" t="n">
        <x:v>10</x:v>
      </x:c>
      <x:c r="D5" s="42" t="n">
        <x:v>20</x:v>
      </x:c>
      <x:c r="E5" s="42" t="n">
        <x:v>10</x:v>
      </x:c>
      <x:c r="F5" s="42" t="str">
        <x:v>17/22</x:v>
      </x:c>
      <x:c r="G5" s="42" t="n">
        <x:v>20</x:v>
      </x:c>
      <x:c r="H5" s="62" t="n">
        <x:v>2</x:v>
      </x:c>
    </x:row>
    <x:row r="6">
      <x:c r="A6" s="42" t="str">
        <x:v>2º ano</x:v>
      </x:c>
      <x:c r="B6" s="42" t="n">
        <x:v>28</x:v>
      </x:c>
      <x:c r="C6" s="42" t="n">
        <x:v>18</x:v>
      </x:c>
      <x:c r="D6" s="42" t="n">
        <x:v>23</x:v>
      </x:c>
      <x:c r="E6" s="42" t="n">
        <x:v>5</x:v>
      </x:c>
      <x:c r="F6" s="42" t="str">
        <x:v>16/22</x:v>
      </x:c>
      <x:c r="G6" s="42" t="n">
        <x:v>15</x:v>
      </x:c>
      <x:c r="H6" s="62" t="n">
        <x:v>3</x:v>
      </x:c>
    </x:row>
    <x:row r="7">
      <x:c r="A7" s="42"/>
      <x:c r="B7" s="42"/>
      <x:c r="C7" s="42"/>
      <x:c r="D7" s="42"/>
      <x:c r="E7" s="42"/>
      <x:c r="F7" s="42"/>
      <x:c r="G7" s="42"/>
      <x:c r="H7" s="42"/>
    </x:row>
    <x:row r="8">
      <x:c r="A8" s="42"/>
      <x:c r="B8" s="42"/>
      <x:c r="C8" s="42"/>
      <x:c r="D8" s="42"/>
      <x:c r="E8" s="42"/>
      <x:c r="F8" s="42"/>
      <x:c r="G8" s="42"/>
      <x:c r="H8" s="42"/>
    </x:row>
    <x:row r="9">
      <x:c r="A9" s="28" t="str">
        <x:v>Turma</x:v>
      </x:c>
      <x:c r="B9" s="28" t="str">
        <x:v>Habilidade</x:v>
      </x:c>
      <x:c r="C9" s="28" t="str">
        <x:v>Domínio da escola</x:v>
      </x:c>
      <x:c r="D9" s="28" t="str">
        <x:v>Domínio grupo-alvo</x:v>
      </x:c>
      <x:c r="E9" s="28" t="str">
        <x:v>Diferença (p.p.)</x:v>
      </x:c>
      <x:c r="F9" s="28" t="str">
        <x:v>Diretriz</x:v>
      </x:c>
      <x:c r="G9" s="42"/>
      <x:c r="H9" s="42"/>
    </x:row>
    <x:row r="10">
      <x:c r="A10" s="42" t="str">
        <x:v>1º ano</x:v>
      </x:c>
      <x:c r="B10" s="42" t="str">
        <x:v>H 04</x:v>
      </x:c>
      <x:c r="C10" s="43" t="n">
        <x:v>0.5</x:v>
      </x:c>
      <x:c r="D10" s="43" t="n">
        <x:v>0.33333333333333337</x:v>
      </x:c>
      <x:c r="E10" s="44" t="n">
        <x:f>(D10-C10)*100</x:f>
        <x:v>-16.666666666666664</x:v>
      </x:c>
      <x:c r="F10" s="42" t="str">
        <x:v>Prioridade no grupo-alvo</x:v>
      </x:c>
      <x:c r="G10" s="42"/>
      <x:c r="H10" s="42"/>
    </x:row>
    <x:row r="11">
      <x:c r="A11" s="42" t="str">
        <x:v>1º ano</x:v>
      </x:c>
      <x:c r="B11" s="42" t="str">
        <x:v>H 07</x:v>
      </x:c>
      <x:c r="C11" s="43" t="n">
        <x:v>0.6041666666666666</x:v>
      </x:c>
      <x:c r="D11" s="43" t="n">
        <x:v>0.45</x:v>
      </x:c>
      <x:c r="E11" s="44" t="n">
        <x:f>(D11-C11)*100</x:f>
        <x:v>-15.416666666666663</x:v>
      </x:c>
      <x:c r="F11" s="42" t="str">
        <x:v>Prioridade no grupo-alvo</x:v>
      </x:c>
      <x:c r="G11" s="42"/>
      <x:c r="H11" s="42"/>
    </x:row>
    <x:row r="12">
      <x:c r="A12" s="42" t="str">
        <x:v>1º ano</x:v>
      </x:c>
      <x:c r="B12" s="42" t="str">
        <x:v>H 02</x:v>
      </x:c>
      <x:c r="C12" s="43" t="n">
        <x:v>0.75</x:v>
      </x:c>
      <x:c r="D12" s="43" t="n">
        <x:v>0.6</x:v>
      </x:c>
      <x:c r="E12" s="44" t="n">
        <x:f>(D12-C12)*100</x:f>
        <x:v>-15.000000000000002</x:v>
      </x:c>
      <x:c r="F12" s="42" t="str">
        <x:v>Prioridade no grupo-alvo</x:v>
      </x:c>
      <x:c r="G12" s="42"/>
      <x:c r="H12" s="42"/>
    </x:row>
    <x:row r="13">
      <x:c r="A13" s="42" t="str">
        <x:v>1º ano</x:v>
      </x:c>
      <x:c r="B13" s="42" t="str">
        <x:v>H 05</x:v>
      </x:c>
      <x:c r="C13" s="43" t="n">
        <x:v>0.625</x:v>
      </x:c>
      <x:c r="D13" s="43" t="n">
        <x:v>0.5333333333333333</x:v>
      </x:c>
      <x:c r="E13" s="44" t="n">
        <x:f>(D13-C13)*100</x:f>
        <x:v>-9.166666666666668</x:v>
      </x:c>
      <x:c r="F13" s="42" t="str">
        <x:v>Prioridade no grupo-alvo</x:v>
      </x:c>
      <x:c r="G13" s="42"/>
      <x:c r="H13" s="42"/>
    </x:row>
    <x:row r="14">
      <x:c r="A14" s="42" t="str">
        <x:v>1º ano</x:v>
      </x:c>
      <x:c r="B14" s="42" t="str">
        <x:v>H 01</x:v>
      </x:c>
      <x:c r="C14" s="43" t="n">
        <x:v>0.8333333333333334</x:v>
      </x:c>
      <x:c r="D14" s="43" t="n">
        <x:v>0.7</x:v>
      </x:c>
      <x:c r="E14" s="44" t="n">
        <x:f>(D14-C14)*100</x:f>
        <x:v>-13.333333333333341</x:v>
      </x:c>
      <x:c r="F14" s="42" t="str">
        <x:v>Prioridade no grupo-alvo</x:v>
      </x:c>
      <x:c r="G14" s="42"/>
      <x:c r="H14" s="42"/>
    </x:row>
    <x:row r="15">
      <x:c r="A15" s="42" t="str">
        <x:v>2º ano</x:v>
      </x:c>
      <x:c r="B15" s="42" t="str">
        <x:v>H 07</x:v>
      </x:c>
      <x:c r="C15" s="43" t="n">
        <x:v>0.48214285714285715</x:v>
      </x:c>
      <x:c r="D15" s="43" t="n">
        <x:v>0.1</x:v>
      </x:c>
      <x:c r="E15" s="44" t="n">
        <x:f>(D15-C15)*100</x:f>
        <x:v>-38.21428571428571</x:v>
      </x:c>
      <x:c r="F15" s="42" t="str">
        <x:v>Prioridade no grupo-alvo</x:v>
      </x:c>
      <x:c r="G15" s="42"/>
      <x:c r="H15" s="42"/>
    </x:row>
    <x:row r="16">
      <x:c r="A16" s="42" t="str">
        <x:v>2º ano</x:v>
      </x:c>
      <x:c r="B16" s="42" t="str">
        <x:v>H 01</x:v>
      </x:c>
      <x:c r="C16" s="43" t="n">
        <x:v>0.35714285714285715</x:v>
      </x:c>
      <x:c r="D16" s="43" t="n">
        <x:v>0.1</x:v>
      </x:c>
      <x:c r="E16" s="44" t="n">
        <x:f>(D16-C16)*100</x:f>
        <x:v>-25.71428571428571</x:v>
      </x:c>
      <x:c r="F16" s="42" t="str">
        <x:v>Prioridade no grupo-alvo</x:v>
      </x:c>
      <x:c r="G16" s="42"/>
      <x:c r="H16" s="42"/>
    </x:row>
    <x:row r="17">
      <x:c r="A17" s="42" t="str">
        <x:v>2º ano</x:v>
      </x:c>
      <x:c r="B17" s="42" t="str">
        <x:v>H 08</x:v>
      </x:c>
      <x:c r="C17" s="43" t="n">
        <x:v>0.5714285714285714</x:v>
      </x:c>
      <x:c r="D17" s="43" t="n">
        <x:v>0.4</x:v>
      </x:c>
      <x:c r="E17" s="44" t="n">
        <x:f>(D17-C17)*100</x:f>
        <x:v>-17.14285714285714</x:v>
      </x:c>
      <x:c r="F17" s="42" t="str">
        <x:v>Prioridade no grupo-alvo</x:v>
      </x:c>
      <x:c r="G17" s="42"/>
      <x:c r="H17" s="42"/>
    </x:row>
    <x:row r="18">
      <x:c r="A18" s="42" t="str">
        <x:v>2º ano</x:v>
      </x:c>
      <x:c r="B18" s="42" t="str">
        <x:v>H 02</x:v>
      </x:c>
      <x:c r="C18" s="43" t="n">
        <x:v>0.7142857142857143</x:v>
      </x:c>
      <x:c r="D18" s="43" t="n">
        <x:v>0.6</x:v>
      </x:c>
      <x:c r="E18" s="44" t="n">
        <x:f>(D18-C18)*100</x:f>
        <x:v>-11.428571428571432</x:v>
      </x:c>
      <x:c r="F18" s="42" t="str">
        <x:v>Prioridade no grupo-alvo</x:v>
      </x:c>
      <x:c r="G18" s="42"/>
      <x:c r="H18" s="42"/>
    </x:row>
    <x:row r="19">
      <x:c r="A19" s="42" t="str">
        <x:v>2º ano</x:v>
      </x:c>
      <x:c r="B19" s="42" t="str">
        <x:v>H 06</x:v>
      </x:c>
      <x:c r="C19" s="43" t="n">
        <x:v>0.75</x:v>
      </x:c>
      <x:c r="D19" s="43" t="n">
        <x:v>0.6</x:v>
      </x:c>
      <x:c r="E19" s="44" t="n">
        <x:f>(D19-C19)*100</x:f>
        <x:v>-15.000000000000002</x:v>
      </x:c>
      <x:c r="F19" s="42" t="str">
        <x:v>Prioridade no grupo-alvo</x:v>
      </x:c>
      <x:c r="G19" s="42"/>
      <x:c r="H19" s="42"/>
    </x:row>
    <x:row r="20">
      <x:c r="A20" s="42" t="str">
        <x:v>2º ano</x:v>
      </x:c>
      <x:c r="B20" s="42" t="str">
        <x:v>H 05</x:v>
      </x:c>
      <x:c r="C20" s="43" t="n">
        <x:v>0.7321428571428571</x:v>
      </x:c>
      <x:c r="D20" s="43" t="n">
        <x:v>0.7</x:v>
      </x:c>
      <x:c r="E20" s="44" t="n">
        <x:f>(D20-C20)*100</x:f>
        <x:v>-3.214285714285714</x:v>
      </x:c>
      <x:c r="F20" s="42" t="str">
        <x:v>Prioridade no grupo-alvo</x:v>
      </x:c>
      <x:c r="G20" s="42"/>
      <x:c r="H20" s="42"/>
    </x:row>
    <x:row r="21">
      <x:c r="A21" s="42"/>
      <x:c r="B21" s="42"/>
      <x:c r="C21" s="42"/>
      <x:c r="D21" s="42"/>
      <x:c r="E21" s="42"/>
      <x:c r="F21" s="42"/>
      <x:c r="G21" s="42"/>
      <x:c r="H21" s="42"/>
    </x:row>
    <x:row r="22">
      <x:c r="A22" s="42"/>
      <x:c r="B22" s="42"/>
      <x:c r="C22" s="42"/>
      <x:c r="D22" s="42"/>
      <x:c r="E22" s="42"/>
      <x:c r="F22" s="42"/>
      <x:c r="G22" s="42"/>
      <x:c r="H22" s="42"/>
    </x:row>
    <x:row r="23">
      <x:c r="A23" s="42"/>
      <x:c r="B23" s="42"/>
      <x:c r="C23" s="42"/>
      <x:c r="D23" s="42"/>
      <x:c r="E23" s="42"/>
      <x:c r="F23" s="42"/>
      <x:c r="G23" s="42"/>
      <x:c r="H23" s="42"/>
    </x:row>
    <x:row r="24">
      <x:c r="A24" s="55" t="str">
        <x:v>Regra de decisão: primeiro converter estudantes a 1-2 acertos do corte; depois intensificar dois estudantes em defasagem no 2º ano para superar 80%.</x:v>
      </x:c>
      <x:c r="B24" s="55"/>
      <x:c r="C24" s="55"/>
      <x:c r="D24" s="55"/>
      <x:c r="E24" s="55"/>
      <x:c r="F24" s="55"/>
      <x:c r="G24" s="55"/>
      <x:c r="H24" s="55"/>
    </x:row>
  </x:sheetData>
  <x:mergeCells>
    <x:mergeCell ref="A1:H1"/>
    <x:mergeCell ref="A2:H2"/>
    <x:mergeCell ref="A24:H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4" hidden="0" customWidth="1"/>
    <x:col min="4" max="4" width="10" hidden="0" customWidth="1"/>
    <x:col min="5" max="5" width="9" hidden="0" customWidth="1"/>
    <x:col min="6" max="6" width="14" hidden="0" customWidth="1"/>
    <x:col min="7" max="7" width="9" hidden="0" customWidth="1"/>
    <x:col min="8" max="8" width="15" hidden="0" customWidth="1"/>
    <x:col min="9" max="9" width="12" hidden="0" customWidth="1"/>
    <x:col min="10" max="10" width="14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32" hidden="0" customWidth="1"/>
  </x:cols>
  <x:sheetData>
    <x:row r="1">
      <x:c r="A1" s="11" t="str">
        <x:v>MATRIZ NOMINAL DE INTERVENÇÃO - USO INTERNO RESTRITO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</x:row>
    <x:row r="2">
      <x:c r="A2" s="37" t="str">
        <x:v>Dados pessoais de crianças: acesso restrito à direção, coordenação e professores responsáveis.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  <x:c r="U2" s="37"/>
      <x:c r="V2" s="37"/>
    </x:row>
    <x:row r="4">
      <x:c r="A4" s="28" t="str">
        <x:v>Turma</x:v>
      </x:c>
      <x:c r="B4" s="28" t="str">
        <x:v>Estudante</x:v>
      </x:c>
      <x:c r="C4" s="28" t="str">
        <x:v>Nível</x:v>
      </x:c>
      <x:c r="D4" s="28" t="str">
        <x:v>Pontos</x:v>
      </x:c>
      <x:c r="E4" s="28" t="str">
        <x:v>Itens</x:v>
      </x:c>
      <x:c r="F4" s="28" t="str">
        <x:v>% Contraprova</x:v>
      </x:c>
      <x:c r="G4" s="28" t="str">
        <x:v>Corte</x:v>
      </x:c>
      <x:c r="H4" s="28" t="str">
        <x:v>Acertos faltantes</x:v>
      </x:c>
      <x:c r="I4" s="28" t="str">
        <x:v>Grupo-alvo</x:v>
      </x:c>
      <x:c r="J4" s="28" t="str">
        <x:v>% Referência</x:v>
      </x:c>
      <x:c r="K4" s="28" t="str">
        <x:v>H01</x:v>
      </x:c>
      <x:c r="L4" s="28" t="str">
        <x:v>H02</x:v>
      </x:c>
      <x:c r="M4" s="28" t="str">
        <x:v>H03</x:v>
      </x:c>
      <x:c r="N4" s="28" t="str">
        <x:v>H04</x:v>
      </x:c>
      <x:c r="O4" s="28" t="str">
        <x:v>H05</x:v>
      </x:c>
      <x:c r="P4" s="28" t="str">
        <x:v>H06</x:v>
      </x:c>
      <x:c r="Q4" s="28" t="str">
        <x:v>H07</x:v>
      </x:c>
      <x:c r="R4" s="28" t="str">
        <x:v>H08</x:v>
      </x:c>
      <x:c r="S4" s="28" t="str">
        <x:v>H09</x:v>
      </x:c>
      <x:c r="T4" s="28" t="str">
        <x:v>H10</x:v>
      </x:c>
      <x:c r="U4" s="28" t="str">
        <x:v>H11</x:v>
      </x:c>
      <x:c r="V4" s="28" t="str">
        <x:v>Habilidades prioritárias</x:v>
      </x:c>
    </x:row>
    <x:row r="5">
      <x:c r="A5" s="42" t="str">
        <x:v>1º ano</x:v>
      </x:c>
      <x:c r="B5" s="42" t="str">
        <x:v>ANTONIO CALLEBY PEREIRA LIMA</x:v>
      </x:c>
      <x:c r="C5" s="42" t="str">
        <x:v>Adequado</x:v>
      </x:c>
      <x:c r="D5" s="42" t="n">
        <x:v>19</x:v>
      </x:c>
      <x:c r="E5" s="42" t="n">
        <x:v>22</x:v>
      </x:c>
      <x:c r="F5" s="43" t="n">
        <x:f>D5/E5</x:f>
        <x:v>0.8636363636363636</x:v>
      </x:c>
      <x:c r="G5" s="42" t="n">
        <x:f>IF(A5="1º ano",17,16)</x:f>
        <x:v>17</x:v>
      </x:c>
      <x:c r="H5" s="42" t="n">
        <x:f>MAX(0,G5-D5)</x:f>
        <x:v>0</x:v>
      </x:c>
      <x:c r="I5" s="42" t="str">
        <x:v>NÃO</x:v>
      </x:c>
      <x:c r="J5" s="43" t="n">
        <x:v>0.8636363636363636</x:v>
      </x:c>
      <x:c r="K5" s="43" t="n">
        <x:v>1</x:v>
      </x:c>
      <x:c r="L5" s="43" t="n">
        <x:v>1</x:v>
      </x:c>
      <x:c r="M5" s="43" t="n">
        <x:v>0.6666666666666666</x:v>
      </x:c>
      <x:c r="N5" s="43" t="n">
        <x:v>0.3333333333333333</x:v>
      </x:c>
      <x:c r="O5" s="43" t="n">
        <x:v>1</x:v>
      </x:c>
      <x:c r="P5" s="43" t="n">
        <x:v>1</x:v>
      </x:c>
      <x:c r="Q5" s="43" t="n">
        <x:v>1</x:v>
      </x:c>
      <x:c r="R5" s="43" t="n">
        <x:v>1</x:v>
      </x:c>
      <x:c r="S5" s="43" t="n">
        <x:v>1</x:v>
      </x:c>
      <x:c r="T5" s="43"/>
      <x:c r="U5" s="43"/>
      <x:c r="V5" s="42" t="str"/>
    </x:row>
    <x:row r="6">
      <x:c r="A6" s="42" t="str">
        <x:v>1º ano</x:v>
      </x:c>
      <x:c r="B6" s="42" t="str">
        <x:v>DANIEL CONCEICAO PIMENTEL</x:v>
      </x:c>
      <x:c r="C6" s="42" t="str">
        <x:v>Intermediário</x:v>
      </x:c>
      <x:c r="D6" s="42" t="n">
        <x:v>14</x:v>
      </x:c>
      <x:c r="E6" s="42" t="n">
        <x:v>22</x:v>
      </x:c>
      <x:c r="F6" s="43" t="n">
        <x:f>D6/E6</x:f>
        <x:v>0.6363636363636364</x:v>
      </x:c>
      <x:c r="G6" s="42" t="n">
        <x:f>IF(A6="1º ano",17,16)</x:f>
        <x:v>17</x:v>
      </x:c>
      <x:c r="H6" s="42" t="n">
        <x:f>MAX(0,G6-D6)</x:f>
        <x:v>3</x:v>
      </x:c>
      <x:c r="I6" s="42" t="str">
        <x:v>SIM</x:v>
      </x:c>
      <x:c r="J6" s="43" t="n">
        <x:v>0.9090909090909091</x:v>
      </x:c>
      <x:c r="K6" s="43" t="n">
        <x:v>0.5</x:v>
      </x:c>
      <x:c r="L6" s="43" t="n">
        <x:v>0.5</x:v>
      </x:c>
      <x:c r="M6" s="43" t="n">
        <x:v>0.6666666666666666</x:v>
      </x:c>
      <x:c r="N6" s="43" t="n">
        <x:v>0.3333333333333333</x:v>
      </x:c>
      <x:c r="O6" s="43" t="n">
        <x:v>0.6666666666666666</x:v>
      </x:c>
      <x:c r="P6" s="43" t="n">
        <x:v>1</x:v>
      </x:c>
      <x:c r="Q6" s="43" t="n">
        <x:v>0</x:v>
      </x:c>
      <x:c r="R6" s="43" t="n">
        <x:v>1</x:v>
      </x:c>
      <x:c r="S6" s="43" t="n">
        <x:v>1</x:v>
      </x:c>
      <x:c r="T6" s="43"/>
      <x:c r="U6" s="43"/>
      <x:c r="V6" s="42" t="str">
        <x:v>H 07, H 04, H 02, H 05, H 01</x:v>
      </x:c>
    </x:row>
    <x:row r="7">
      <x:c r="A7" s="42" t="str">
        <x:v>1º ano</x:v>
      </x:c>
      <x:c r="B7" s="42" t="str">
        <x:v>EMANUELLY DO NASCIMENTO BEZERRA</x:v>
      </x:c>
      <x:c r="C7" s="42" t="str">
        <x:v>Adequado</x:v>
      </x:c>
      <x:c r="D7" s="42" t="n">
        <x:v>20</x:v>
      </x:c>
      <x:c r="E7" s="42" t="n">
        <x:v>22</x:v>
      </x:c>
      <x:c r="F7" s="43" t="n">
        <x:f>D7/E7</x:f>
        <x:v>0.9090909090909091</x:v>
      </x:c>
      <x:c r="G7" s="42" t="n">
        <x:f>IF(A7="1º ano",17,16)</x:f>
        <x:v>17</x:v>
      </x:c>
      <x:c r="H7" s="42" t="n">
        <x:f>MAX(0,G7-D7)</x:f>
        <x:v>0</x:v>
      </x:c>
      <x:c r="I7" s="42" t="str">
        <x:v>NÃO</x:v>
      </x:c>
      <x:c r="J7" s="43" t="n">
        <x:v>0.8636363636363636</x:v>
      </x:c>
      <x:c r="K7" s="43" t="n">
        <x:v>1</x:v>
      </x:c>
      <x:c r="L7" s="43" t="n">
        <x:v>1</x:v>
      </x:c>
      <x:c r="M7" s="43" t="n">
        <x:v>1</x:v>
      </x:c>
      <x:c r="N7" s="43" t="n">
        <x:v>0.6666666666666666</x:v>
      </x:c>
      <x:c r="O7" s="43" t="n">
        <x:v>1</x:v>
      </x:c>
      <x:c r="P7" s="43" t="n">
        <x:v>0.6666666666666666</x:v>
      </x:c>
      <x:c r="Q7" s="43" t="n">
        <x:v>1</x:v>
      </x:c>
      <x:c r="R7" s="43" t="n">
        <x:v>1</x:v>
      </x:c>
      <x:c r="S7" s="43" t="n">
        <x:v>1</x:v>
      </x:c>
      <x:c r="T7" s="43"/>
      <x:c r="U7" s="43"/>
      <x:c r="V7" s="42" t="str"/>
    </x:row>
    <x:row r="8">
      <x:c r="A8" s="42" t="str">
        <x:v>1º ano</x:v>
      </x:c>
      <x:c r="B8" s="42" t="str">
        <x:v>FRANCISCO MIGUEL MARTINS DE SOUSA</x:v>
      </x:c>
      <x:c r="C8" s="42" t="str">
        <x:v>Adequado</x:v>
      </x:c>
      <x:c r="D8" s="42" t="n">
        <x:v>18</x:v>
      </x:c>
      <x:c r="E8" s="42" t="n">
        <x:v>22</x:v>
      </x:c>
      <x:c r="F8" s="43" t="n">
        <x:f>D8/E8</x:f>
        <x:v>0.8181818181818182</x:v>
      </x:c>
      <x:c r="G8" s="42" t="n">
        <x:f>IF(A8="1º ano",17,16)</x:f>
        <x:v>17</x:v>
      </x:c>
      <x:c r="H8" s="42" t="n">
        <x:f>MAX(0,G8-D8)</x:f>
        <x:v>0</x:v>
      </x:c>
      <x:c r="I8" s="42" t="str">
        <x:v>NÃO</x:v>
      </x:c>
      <x:c r="J8" s="43" t="n">
        <x:v>0.7272727272727273</x:v>
      </x:c>
      <x:c r="K8" s="43" t="n">
        <x:v>1</x:v>
      </x:c>
      <x:c r="L8" s="43" t="n">
        <x:v>1</x:v>
      </x:c>
      <x:c r="M8" s="43" t="n">
        <x:v>1</x:v>
      </x:c>
      <x:c r="N8" s="43" t="n">
        <x:v>0.6666666666666666</x:v>
      </x:c>
      <x:c r="O8" s="43" t="n">
        <x:v>0.3333333333333333</x:v>
      </x:c>
      <x:c r="P8" s="43" t="n">
        <x:v>1</x:v>
      </x:c>
      <x:c r="Q8" s="43" t="n">
        <x:v>1</x:v>
      </x:c>
      <x:c r="R8" s="43" t="n">
        <x:v>0.5</x:v>
      </x:c>
      <x:c r="S8" s="43" t="n">
        <x:v>1</x:v>
      </x:c>
      <x:c r="T8" s="43"/>
      <x:c r="U8" s="43"/>
      <x:c r="V8" s="42" t="str"/>
    </x:row>
    <x:row r="9">
      <x:c r="A9" s="42" t="str">
        <x:v>1º ano</x:v>
      </x:c>
      <x:c r="B9" s="42" t="str">
        <x:v>GUSTAVO HENRIQUE MORENO DA SILVA</x:v>
      </x:c>
      <x:c r="C9" s="42" t="str">
        <x:v>Intermediário</x:v>
      </x:c>
      <x:c r="D9" s="42" t="n">
        <x:v>13</x:v>
      </x:c>
      <x:c r="E9" s="42" t="n">
        <x:v>22</x:v>
      </x:c>
      <x:c r="F9" s="43" t="n">
        <x:f>D9/E9</x:f>
        <x:v>0.5909090909090909</x:v>
      </x:c>
      <x:c r="G9" s="42" t="n">
        <x:f>IF(A9="1º ano",17,16)</x:f>
        <x:v>17</x:v>
      </x:c>
      <x:c r="H9" s="42" t="n">
        <x:f>MAX(0,G9-D9)</x:f>
        <x:v>4</x:v>
      </x:c>
      <x:c r="I9" s="42" t="str">
        <x:v>NÃO</x:v>
      </x:c>
      <x:c r="J9" s="43" t="n">
        <x:v>0.7272727272727273</x:v>
      </x:c>
      <x:c r="K9" s="43" t="n">
        <x:v>0.5</x:v>
      </x:c>
      <x:c r="L9" s="43" t="n">
        <x:v>0.5</x:v>
      </x:c>
      <x:c r="M9" s="43" t="n">
        <x:v>0.6666666666666666</x:v>
      </x:c>
      <x:c r="N9" s="43" t="n">
        <x:v>0.3333333333333333</x:v>
      </x:c>
      <x:c r="O9" s="43" t="n">
        <x:v>0.6666666666666666</x:v>
      </x:c>
      <x:c r="P9" s="43" t="n">
        <x:v>0.6666666666666666</x:v>
      </x:c>
      <x:c r="Q9" s="43" t="n">
        <x:v>0</x:v>
      </x:c>
      <x:c r="R9" s="43" t="n">
        <x:v>1</x:v>
      </x:c>
      <x:c r="S9" s="43" t="n">
        <x:v>1</x:v>
      </x:c>
      <x:c r="T9" s="43"/>
      <x:c r="U9" s="43"/>
      <x:c r="V9" s="42" t="str">
        <x:v>H 07, H 04, H 02, H 05, H 01</x:v>
      </x:c>
    </x:row>
    <x:row r="10">
      <x:c r="A10" s="42" t="str">
        <x:v>1º ano</x:v>
      </x:c>
      <x:c r="B10" s="42" t="str">
        <x:v>GUSTAVO SALES MACHADO</x:v>
      </x:c>
      <x:c r="C10" s="42" t="str">
        <x:v>Intermediário</x:v>
      </x:c>
      <x:c r="D10" s="42" t="n">
        <x:v>16</x:v>
      </x:c>
      <x:c r="E10" s="42" t="n">
        <x:v>22</x:v>
      </x:c>
      <x:c r="F10" s="43" t="n">
        <x:f>D10/E10</x:f>
        <x:v>0.7272727272727273</x:v>
      </x:c>
      <x:c r="G10" s="42" t="n">
        <x:f>IF(A10="1º ano",17,16)</x:f>
        <x:v>17</x:v>
      </x:c>
      <x:c r="H10" s="42" t="n">
        <x:f>MAX(0,G10-D10)</x:f>
        <x:v>1</x:v>
      </x:c>
      <x:c r="I10" s="42" t="str">
        <x:v>SIM</x:v>
      </x:c>
      <x:c r="J10" s="43" t="n">
        <x:v>0.7272727272727273</x:v>
      </x:c>
      <x:c r="K10" s="43" t="n">
        <x:v>1</x:v>
      </x:c>
      <x:c r="L10" s="43" t="n">
        <x:v>0.5</x:v>
      </x:c>
      <x:c r="M10" s="43" t="n">
        <x:v>0.6666666666666666</x:v>
      </x:c>
      <x:c r="N10" s="43" t="n">
        <x:v>0.3333333333333333</x:v>
      </x:c>
      <x:c r="O10" s="43" t="n">
        <x:v>0.3333333333333333</x:v>
      </x:c>
      <x:c r="P10" s="43" t="n">
        <x:v>1</x:v>
      </x:c>
      <x:c r="Q10" s="43" t="n">
        <x:v>1</x:v>
      </x:c>
      <x:c r="R10" s="43" t="n">
        <x:v>1</x:v>
      </x:c>
      <x:c r="S10" s="43" t="n">
        <x:v>1</x:v>
      </x:c>
      <x:c r="T10" s="43"/>
      <x:c r="U10" s="43"/>
      <x:c r="V10" s="42" t="str">
        <x:v>H 04, H 05, H 02, H 03, H 07</x:v>
      </x:c>
    </x:row>
    <x:row r="11">
      <x:c r="A11" s="42" t="str">
        <x:v>1º ano</x:v>
      </x:c>
      <x:c r="B11" s="42" t="str">
        <x:v>ISABELLA MARTINS FEITOSA</x:v>
      </x:c>
      <x:c r="C11" s="42" t="str">
        <x:v>Intermediário</x:v>
      </x:c>
      <x:c r="D11" s="42" t="n">
        <x:v>15</x:v>
      </x:c>
      <x:c r="E11" s="42" t="n">
        <x:v>22</x:v>
      </x:c>
      <x:c r="F11" s="43" t="n">
        <x:f>D11/E11</x:f>
        <x:v>0.6818181818181818</x:v>
      </x:c>
      <x:c r="G11" s="42" t="n">
        <x:f>IF(A11="1º ano",17,16)</x:f>
        <x:v>17</x:v>
      </x:c>
      <x:c r="H11" s="42" t="n">
        <x:f>MAX(0,G11-D11)</x:f>
        <x:v>2</x:v>
      </x:c>
      <x:c r="I11" s="42" t="str">
        <x:v>SIM</x:v>
      </x:c>
      <x:c r="J11" s="43" t="n">
        <x:v>1</x:v>
      </x:c>
      <x:c r="K11" s="43" t="n">
        <x:v>0.5</x:v>
      </x:c>
      <x:c r="L11" s="43" t="n">
        <x:v>0.5</x:v>
      </x:c>
      <x:c r="M11" s="43" t="n">
        <x:v>0.6666666666666666</x:v>
      </x:c>
      <x:c r="N11" s="43" t="n">
        <x:v>0.3333333333333333</x:v>
      </x:c>
      <x:c r="O11" s="43" t="n">
        <x:v>0.6666666666666666</x:v>
      </x:c>
      <x:c r="P11" s="43" t="n">
        <x:v>1</x:v>
      </x:c>
      <x:c r="Q11" s="43" t="n">
        <x:v>0.5</x:v>
      </x:c>
      <x:c r="R11" s="43" t="n">
        <x:v>1</x:v>
      </x:c>
      <x:c r="S11" s="43" t="n">
        <x:v>1</x:v>
      </x:c>
      <x:c r="T11" s="43"/>
      <x:c r="U11" s="43"/>
      <x:c r="V11" s="42" t="str">
        <x:v>H 04, H 07, H 02, H 05, H 01</x:v>
      </x:c>
    </x:row>
    <x:row r="12">
      <x:c r="A12" s="42" t="str">
        <x:v>1º ano</x:v>
      </x:c>
      <x:c r="B12" s="42" t="str">
        <x:v>ISAC LUCCA FERNANDES MARTINS</x:v>
      </x:c>
      <x:c r="C12" s="42" t="str">
        <x:v>Adequado</x:v>
      </x:c>
      <x:c r="D12" s="42" t="n">
        <x:v>18</x:v>
      </x:c>
      <x:c r="E12" s="42" t="n">
        <x:v>22</x:v>
      </x:c>
      <x:c r="F12" s="43" t="n">
        <x:f>D12/E12</x:f>
        <x:v>0.8181818181818182</x:v>
      </x:c>
      <x:c r="G12" s="42" t="n">
        <x:f>IF(A12="1º ano",17,16)</x:f>
        <x:v>17</x:v>
      </x:c>
      <x:c r="H12" s="42" t="n">
        <x:f>MAX(0,G12-D12)</x:f>
        <x:v>0</x:v>
      </x:c>
      <x:c r="I12" s="42" t="str">
        <x:v>NÃO</x:v>
      </x:c>
      <x:c r="J12" s="43" t="n">
        <x:v>0.6363636363636364</x:v>
      </x:c>
      <x:c r="K12" s="43" t="n">
        <x:v>1</x:v>
      </x:c>
      <x:c r="L12" s="43" t="n">
        <x:v>1</x:v>
      </x:c>
      <x:c r="M12" s="43" t="n">
        <x:v>1</x:v>
      </x:c>
      <x:c r="N12" s="43" t="n">
        <x:v>1</x:v>
      </x:c>
      <x:c r="O12" s="43" t="n">
        <x:v>0.3333333333333333</x:v>
      </x:c>
      <x:c r="P12" s="43" t="n">
        <x:v>0.6666666666666666</x:v>
      </x:c>
      <x:c r="Q12" s="43" t="n">
        <x:v>0.5</x:v>
      </x:c>
      <x:c r="R12" s="43" t="n">
        <x:v>1</x:v>
      </x:c>
      <x:c r="S12" s="43" t="n">
        <x:v>1</x:v>
      </x:c>
      <x:c r="T12" s="43"/>
      <x:c r="U12" s="43"/>
      <x:c r="V12" s="42" t="str"/>
    </x:row>
    <x:row r="13">
      <x:c r="A13" s="42" t="str">
        <x:v>1º ano</x:v>
      </x:c>
      <x:c r="B13" s="42" t="str">
        <x:v>ISIS GOMES MESQUITA</x:v>
      </x:c>
      <x:c r="C13" s="42" t="str">
        <x:v>Intermediário</x:v>
      </x:c>
      <x:c r="D13" s="42" t="n">
        <x:v>15</x:v>
      </x:c>
      <x:c r="E13" s="42" t="n">
        <x:v>22</x:v>
      </x:c>
      <x:c r="F13" s="43" t="n">
        <x:f>D13/E13</x:f>
        <x:v>0.6818181818181818</x:v>
      </x:c>
      <x:c r="G13" s="42" t="n">
        <x:f>IF(A13="1º ano",17,16)</x:f>
        <x:v>17</x:v>
      </x:c>
      <x:c r="H13" s="42" t="n">
        <x:f>MAX(0,G13-D13)</x:f>
        <x:v>2</x:v>
      </x:c>
      <x:c r="I13" s="42" t="str">
        <x:v>SIM</x:v>
      </x:c>
      <x:c r="J13" s="43" t="n">
        <x:v>0.5</x:v>
      </x:c>
      <x:c r="K13" s="43" t="n">
        <x:v>1</x:v>
      </x:c>
      <x:c r="L13" s="43" t="n">
        <x:v>1</x:v>
      </x:c>
      <x:c r="M13" s="43" t="n">
        <x:v>0.6666666666666666</x:v>
      </x:c>
      <x:c r="N13" s="43" t="n">
        <x:v>0.3333333333333333</x:v>
      </x:c>
      <x:c r="O13" s="43" t="n">
        <x:v>0.3333333333333333</x:v>
      </x:c>
      <x:c r="P13" s="43" t="n">
        <x:v>0.6666666666666666</x:v>
      </x:c>
      <x:c r="Q13" s="43" t="n">
        <x:v>1</x:v>
      </x:c>
      <x:c r="R13" s="43" t="n">
        <x:v>0.5</x:v>
      </x:c>
      <x:c r="S13" s="43" t="n">
        <x:v>1</x:v>
      </x:c>
      <x:c r="T13" s="43"/>
      <x:c r="U13" s="43"/>
      <x:c r="V13" s="42" t="str">
        <x:v>H 04, H 05, H 03, H 08, H 06</x:v>
      </x:c>
    </x:row>
    <x:row r="14">
      <x:c r="A14" s="42" t="str">
        <x:v>1º ano</x:v>
      </x:c>
      <x:c r="B14" s="42" t="str">
        <x:v>ISIS KETLEN SOUSA DA SILVA</x:v>
      </x:c>
      <x:c r="C14" s="42" t="str">
        <x:v>Intermediário</x:v>
      </x:c>
      <x:c r="D14" s="42" t="n">
        <x:v>13</x:v>
      </x:c>
      <x:c r="E14" s="42" t="n">
        <x:v>22</x:v>
      </x:c>
      <x:c r="F14" s="43" t="n">
        <x:f>D14/E14</x:f>
        <x:v>0.5909090909090909</x:v>
      </x:c>
      <x:c r="G14" s="42" t="n">
        <x:f>IF(A14="1º ano",17,16)</x:f>
        <x:v>17</x:v>
      </x:c>
      <x:c r="H14" s="42" t="n">
        <x:f>MAX(0,G14-D14)</x:f>
        <x:v>4</x:v>
      </x:c>
      <x:c r="I14" s="42" t="str">
        <x:v>NÃO</x:v>
      </x:c>
      <x:c r="J14" s="43" t="n">
        <x:v>0.5909090909090909</x:v>
      </x:c>
      <x:c r="K14" s="43" t="n">
        <x:v>0.5</x:v>
      </x:c>
      <x:c r="L14" s="43" t="n">
        <x:v>0.5</x:v>
      </x:c>
      <x:c r="M14" s="43" t="n">
        <x:v>0.6666666666666666</x:v>
      </x:c>
      <x:c r="N14" s="43" t="n">
        <x:v>0.3333333333333333</x:v>
      </x:c>
      <x:c r="O14" s="43" t="n">
        <x:v>0.6666666666666666</x:v>
      </x:c>
      <x:c r="P14" s="43" t="n">
        <x:v>0.6666666666666666</x:v>
      </x:c>
      <x:c r="Q14" s="43" t="n">
        <x:v>0</x:v>
      </x:c>
      <x:c r="R14" s="43" t="n">
        <x:v>1</x:v>
      </x:c>
      <x:c r="S14" s="43" t="n">
        <x:v>1</x:v>
      </x:c>
      <x:c r="T14" s="43"/>
      <x:c r="U14" s="43"/>
      <x:c r="V14" s="42" t="str">
        <x:v>H 07, H 04, H 02, H 05, H 01</x:v>
      </x:c>
    </x:row>
    <x:row r="15">
      <x:c r="A15" s="42" t="str">
        <x:v>1º ano</x:v>
      </x:c>
      <x:c r="B15" s="42" t="str">
        <x:v>JOSE YHUDY BENICIO FERREIRA DE ANDRADE</x:v>
      </x:c>
      <x:c r="C15" s="42" t="str">
        <x:v>Intermediário</x:v>
      </x:c>
      <x:c r="D15" s="42" t="n">
        <x:v>15</x:v>
      </x:c>
      <x:c r="E15" s="42" t="n">
        <x:v>22</x:v>
      </x:c>
      <x:c r="F15" s="43" t="n">
        <x:f>D15/E15</x:f>
        <x:v>0.6818181818181818</x:v>
      </x:c>
      <x:c r="G15" s="42" t="n">
        <x:f>IF(A15="1º ano",17,16)</x:f>
        <x:v>17</x:v>
      </x:c>
      <x:c r="H15" s="42" t="n">
        <x:f>MAX(0,G15-D15)</x:f>
        <x:v>2</x:v>
      </x:c>
      <x:c r="I15" s="42" t="str">
        <x:v>SIM</x:v>
      </x:c>
      <x:c r="J15" s="43" t="n">
        <x:v>0.9545454545454546</x:v>
      </x:c>
      <x:c r="K15" s="43" t="n">
        <x:v>0.5</x:v>
      </x:c>
      <x:c r="L15" s="43" t="n">
        <x:v>1</x:v>
      </x:c>
      <x:c r="M15" s="43" t="n">
        <x:v>1</x:v>
      </x:c>
      <x:c r="N15" s="43" t="n">
        <x:v>0</x:v>
      </x:c>
      <x:c r="O15" s="43" t="n">
        <x:v>0.3333333333333333</x:v>
      </x:c>
      <x:c r="P15" s="43" t="n">
        <x:v>1</x:v>
      </x:c>
      <x:c r="Q15" s="43" t="n">
        <x:v>0.5</x:v>
      </x:c>
      <x:c r="R15" s="43" t="n">
        <x:v>1</x:v>
      </x:c>
      <x:c r="S15" s="43" t="n">
        <x:v>1</x:v>
      </x:c>
      <x:c r="T15" s="43"/>
      <x:c r="U15" s="43"/>
      <x:c r="V15" s="42" t="str">
        <x:v>H 04, H 07, H 05, H 01, H 02</x:v>
      </x:c>
    </x:row>
    <x:row r="16">
      <x:c r="A16" s="42" t="str">
        <x:v>1º ano</x:v>
      </x:c>
      <x:c r="B16" s="42" t="str">
        <x:v>LIVYA MARIA ALVES MELO</x:v>
      </x:c>
      <x:c r="C16" s="42" t="str">
        <x:v>Adequado</x:v>
      </x:c>
      <x:c r="D16" s="42" t="n">
        <x:v>19</x:v>
      </x:c>
      <x:c r="E16" s="42" t="n">
        <x:v>22</x:v>
      </x:c>
      <x:c r="F16" s="43" t="n">
        <x:f>D16/E16</x:f>
        <x:v>0.8636363636363636</x:v>
      </x:c>
      <x:c r="G16" s="42" t="n">
        <x:f>IF(A16="1º ano",17,16)</x:f>
        <x:v>17</x:v>
      </x:c>
      <x:c r="H16" s="42" t="n">
        <x:f>MAX(0,G16-D16)</x:f>
        <x:v>0</x:v>
      </x:c>
      <x:c r="I16" s="42" t="str">
        <x:v>NÃO</x:v>
      </x:c>
      <x:c r="J16" s="43" t="n">
        <x:v>1</x:v>
      </x:c>
      <x:c r="K16" s="43" t="n">
        <x:v>1</x:v>
      </x:c>
      <x:c r="L16" s="43" t="n">
        <x:v>1</x:v>
      </x:c>
      <x:c r="M16" s="43" t="n">
        <x:v>1</x:v>
      </x:c>
      <x:c r="N16" s="43" t="n">
        <x:v>0.3333333333333333</x:v>
      </x:c>
      <x:c r="O16" s="43" t="n">
        <x:v>0.6666666666666666</x:v>
      </x:c>
      <x:c r="P16" s="43" t="n">
        <x:v>1</x:v>
      </x:c>
      <x:c r="Q16" s="43" t="n">
        <x:v>1</x:v>
      </x:c>
      <x:c r="R16" s="43" t="n">
        <x:v>1</x:v>
      </x:c>
      <x:c r="S16" s="43" t="n">
        <x:v>1</x:v>
      </x:c>
      <x:c r="T16" s="43"/>
      <x:c r="U16" s="43"/>
      <x:c r="V16" s="42" t="str"/>
    </x:row>
    <x:row r="17">
      <x:c r="A17" s="42" t="str">
        <x:v>1º ano</x:v>
      </x:c>
      <x:c r="B17" s="42" t="str">
        <x:v>LOUISE ALVES SANTIAGO</x:v>
      </x:c>
      <x:c r="C17" s="42" t="str">
        <x:v>Intermediário</x:v>
      </x:c>
      <x:c r="D17" s="42" t="n">
        <x:v>16</x:v>
      </x:c>
      <x:c r="E17" s="42" t="n">
        <x:v>22</x:v>
      </x:c>
      <x:c r="F17" s="43" t="n">
        <x:f>D17/E17</x:f>
        <x:v>0.7272727272727273</x:v>
      </x:c>
      <x:c r="G17" s="42" t="n">
        <x:f>IF(A17="1º ano",17,16)</x:f>
        <x:v>17</x:v>
      </x:c>
      <x:c r="H17" s="42" t="n">
        <x:f>MAX(0,G17-D17)</x:f>
        <x:v>1</x:v>
      </x:c>
      <x:c r="I17" s="42" t="str">
        <x:v>SIM</x:v>
      </x:c>
      <x:c r="J17" s="43" t="n">
        <x:v>0.6363636363636364</x:v>
      </x:c>
      <x:c r="K17" s="43" t="n">
        <x:v>1</x:v>
      </x:c>
      <x:c r="L17" s="43" t="n">
        <x:v>0.5</x:v>
      </x:c>
      <x:c r="M17" s="43" t="n">
        <x:v>1</x:v>
      </x:c>
      <x:c r="N17" s="43" t="n">
        <x:v>0</x:v>
      </x:c>
      <x:c r="O17" s="43" t="n">
        <x:v>0.6666666666666666</x:v>
      </x:c>
      <x:c r="P17" s="43" t="n">
        <x:v>1</x:v>
      </x:c>
      <x:c r="Q17" s="43" t="n">
        <x:v>0.5</x:v>
      </x:c>
      <x:c r="R17" s="43" t="n">
        <x:v>1</x:v>
      </x:c>
      <x:c r="S17" s="43" t="n">
        <x:v>1</x:v>
      </x:c>
      <x:c r="T17" s="43"/>
      <x:c r="U17" s="43"/>
      <x:c r="V17" s="42" t="str">
        <x:v>H 04, H 07, H 02, H 05, H 01</x:v>
      </x:c>
    </x:row>
    <x:row r="18">
      <x:c r="A18" s="42" t="str">
        <x:v>1º ano</x:v>
      </x:c>
      <x:c r="B18" s="42" t="str">
        <x:v>LUNNA DE SOUSA SILVA</x:v>
      </x:c>
      <x:c r="C18" s="42" t="str">
        <x:v>Adequado</x:v>
      </x:c>
      <x:c r="D18" s="42" t="n">
        <x:v>21</x:v>
      </x:c>
      <x:c r="E18" s="42" t="n">
        <x:v>22</x:v>
      </x:c>
      <x:c r="F18" s="43" t="n">
        <x:f>D18/E18</x:f>
        <x:v>0.9545454545454546</x:v>
      </x:c>
      <x:c r="G18" s="42" t="n">
        <x:f>IF(A18="1º ano",17,16)</x:f>
        <x:v>17</x:v>
      </x:c>
      <x:c r="H18" s="42" t="n">
        <x:f>MAX(0,G18-D18)</x:f>
        <x:v>0</x:v>
      </x:c>
      <x:c r="I18" s="42" t="str">
        <x:v>NÃO</x:v>
      </x:c>
      <x:c r="J18" s="43" t="n">
        <x:v>0.5909090909090909</x:v>
      </x:c>
      <x:c r="K18" s="43" t="n">
        <x:v>1</x:v>
      </x:c>
      <x:c r="L18" s="43" t="n">
        <x:v>1</x:v>
      </x:c>
      <x:c r="M18" s="43" t="n">
        <x:v>1</x:v>
      </x:c>
      <x:c r="N18" s="43" t="n">
        <x:v>1</x:v>
      </x:c>
      <x:c r="O18" s="43" t="n">
        <x:v>0.6666666666666666</x:v>
      </x:c>
      <x:c r="P18" s="43" t="n">
        <x:v>1</x:v>
      </x:c>
      <x:c r="Q18" s="43" t="n">
        <x:v>1</x:v>
      </x:c>
      <x:c r="R18" s="43" t="n">
        <x:v>1</x:v>
      </x:c>
      <x:c r="S18" s="43" t="n">
        <x:v>1</x:v>
      </x:c>
      <x:c r="T18" s="43"/>
      <x:c r="U18" s="43"/>
      <x:c r="V18" s="42" t="str"/>
    </x:row>
    <x:row r="19">
      <x:c r="A19" s="42" t="str">
        <x:v>1º ano</x:v>
      </x:c>
      <x:c r="B19" s="42" t="str">
        <x:v>MARIA AGATHA DE SOUSA NEVES</x:v>
      </x:c>
      <x:c r="C19" s="42" t="str">
        <x:v>Intermediário</x:v>
      </x:c>
      <x:c r="D19" s="42" t="n">
        <x:v>14</x:v>
      </x:c>
      <x:c r="E19" s="42" t="n">
        <x:v>22</x:v>
      </x:c>
      <x:c r="F19" s="43" t="n">
        <x:f>D19/E19</x:f>
        <x:v>0.6363636363636364</x:v>
      </x:c>
      <x:c r="G19" s="42" t="n">
        <x:f>IF(A19="1º ano",17,16)</x:f>
        <x:v>17</x:v>
      </x:c>
      <x:c r="H19" s="42" t="n">
        <x:f>MAX(0,G19-D19)</x:f>
        <x:v>3</x:v>
      </x:c>
      <x:c r="I19" s="42" t="str">
        <x:v>SIM</x:v>
      </x:c>
      <x:c r="J19" s="43" t="n">
        <x:v>0.6363636363636364</x:v>
      </x:c>
      <x:c r="K19" s="43" t="n">
        <x:v>0.5</x:v>
      </x:c>
      <x:c r="L19" s="43" t="n">
        <x:v>0.5</x:v>
      </x:c>
      <x:c r="M19" s="43" t="n">
        <x:v>0.6666666666666666</x:v>
      </x:c>
      <x:c r="N19" s="43" t="n">
        <x:v>0.3333333333333333</x:v>
      </x:c>
      <x:c r="O19" s="43" t="n">
        <x:v>0.6666666666666666</x:v>
      </x:c>
      <x:c r="P19" s="43" t="n">
        <x:v>1</x:v>
      </x:c>
      <x:c r="Q19" s="43" t="n">
        <x:v>0</x:v>
      </x:c>
      <x:c r="R19" s="43" t="n">
        <x:v>1</x:v>
      </x:c>
      <x:c r="S19" s="43" t="n">
        <x:v>1</x:v>
      </x:c>
      <x:c r="T19" s="43"/>
      <x:c r="U19" s="43"/>
      <x:c r="V19" s="42" t="str">
        <x:v>H 07, H 04, H 02, H 05, H 01</x:v>
      </x:c>
    </x:row>
    <x:row r="20">
      <x:c r="A20" s="42" t="str">
        <x:v>1º ano</x:v>
      </x:c>
      <x:c r="B20" s="42" t="str">
        <x:v>MARIA ISIS DA CONCEICAO DE SOUSA</x:v>
      </x:c>
      <x:c r="C20" s="42" t="str">
        <x:v>Adequado</x:v>
      </x:c>
      <x:c r="D20" s="42" t="n">
        <x:v>22</x:v>
      </x:c>
      <x:c r="E20" s="42" t="n">
        <x:v>22</x:v>
      </x:c>
      <x:c r="F20" s="43" t="n">
        <x:f>D20/E20</x:f>
        <x:v>1</x:v>
      </x:c>
      <x:c r="G20" s="42" t="n">
        <x:f>IF(A20="1º ano",17,16)</x:f>
        <x:v>17</x:v>
      </x:c>
      <x:c r="H20" s="42" t="n">
        <x:f>MAX(0,G20-D20)</x:f>
        <x:v>0</x:v>
      </x:c>
      <x:c r="I20" s="42" t="str">
        <x:v>NÃO</x:v>
      </x:c>
      <x:c r="J20" s="43" t="n">
        <x:v>0.5454545454545454</x:v>
      </x:c>
      <x:c r="K20" s="43" t="n">
        <x:v>1</x:v>
      </x:c>
      <x:c r="L20" s="43" t="n">
        <x:v>1</x:v>
      </x:c>
      <x:c r="M20" s="43" t="n">
        <x:v>1</x:v>
      </x:c>
      <x:c r="N20" s="43" t="n">
        <x:v>1</x:v>
      </x:c>
      <x:c r="O20" s="43" t="n">
        <x:v>1</x:v>
      </x:c>
      <x:c r="P20" s="43" t="n">
        <x:v>1</x:v>
      </x:c>
      <x:c r="Q20" s="43" t="n">
        <x:v>1</x:v>
      </x:c>
      <x:c r="R20" s="43" t="n">
        <x:v>1</x:v>
      </x:c>
      <x:c r="S20" s="43" t="n">
        <x:v>1</x:v>
      </x:c>
      <x:c r="T20" s="43"/>
      <x:c r="U20" s="43"/>
      <x:c r="V20" s="42" t="str"/>
    </x:row>
    <x:row r="21">
      <x:c r="A21" s="42" t="str">
        <x:v>1º ano</x:v>
      </x:c>
      <x:c r="B21" s="42" t="str">
        <x:v>MARIA ISIS PEREIRA GOMES</x:v>
      </x:c>
      <x:c r="C21" s="42" t="str">
        <x:v>Intermediário</x:v>
      </x:c>
      <x:c r="D21" s="42" t="n">
        <x:v>14</x:v>
      </x:c>
      <x:c r="E21" s="42" t="n">
        <x:v>22</x:v>
      </x:c>
      <x:c r="F21" s="43" t="n">
        <x:f>D21/E21</x:f>
        <x:v>0.6363636363636364</x:v>
      </x:c>
      <x:c r="G21" s="42" t="n">
        <x:f>IF(A21="1º ano",17,16)</x:f>
        <x:v>17</x:v>
      </x:c>
      <x:c r="H21" s="42" t="n">
        <x:f>MAX(0,G21-D21)</x:f>
        <x:v>3</x:v>
      </x:c>
      <x:c r="I21" s="42" t="str">
        <x:v>SIM</x:v>
      </x:c>
      <x:c r="J21" s="43" t="n">
        <x:v>0.8181818181818182</x:v>
      </x:c>
      <x:c r="K21" s="43" t="n">
        <x:v>0.5</x:v>
      </x:c>
      <x:c r="L21" s="43" t="n">
        <x:v>0.5</x:v>
      </x:c>
      <x:c r="M21" s="43" t="n">
        <x:v>0.6666666666666666</x:v>
      </x:c>
      <x:c r="N21" s="43" t="n">
        <x:v>0.3333333333333333</x:v>
      </x:c>
      <x:c r="O21" s="43" t="n">
        <x:v>0.6666666666666666</x:v>
      </x:c>
      <x:c r="P21" s="43" t="n">
        <x:v>1</x:v>
      </x:c>
      <x:c r="Q21" s="43" t="n">
        <x:v>0</x:v>
      </x:c>
      <x:c r="R21" s="43" t="n">
        <x:v>1</x:v>
      </x:c>
      <x:c r="S21" s="43" t="n">
        <x:v>1</x:v>
      </x:c>
      <x:c r="T21" s="43"/>
      <x:c r="U21" s="43"/>
      <x:c r="V21" s="42" t="str">
        <x:v>H 07, H 04, H 02, H 05, H 01</x:v>
      </x:c>
    </x:row>
    <x:row r="22">
      <x:c r="A22" s="42" t="str">
        <x:v>1º ano</x:v>
      </x:c>
      <x:c r="B22" s="42" t="str">
        <x:v>MARIA JULIANA VIEIRA GOMES</x:v>
      </x:c>
      <x:c r="C22" s="42" t="str">
        <x:v>Intermediário</x:v>
      </x:c>
      <x:c r="D22" s="42" t="n">
        <x:v>14</x:v>
      </x:c>
      <x:c r="E22" s="42" t="n">
        <x:v>22</x:v>
      </x:c>
      <x:c r="F22" s="43" t="n">
        <x:f>D22/E22</x:f>
        <x:v>0.6363636363636364</x:v>
      </x:c>
      <x:c r="G22" s="42" t="n">
        <x:f>IF(A22="1º ano",17,16)</x:f>
        <x:v>17</x:v>
      </x:c>
      <x:c r="H22" s="42" t="n">
        <x:f>MAX(0,G22-D22)</x:f>
        <x:v>3</x:v>
      </x:c>
      <x:c r="I22" s="42" t="str">
        <x:v>NÃO</x:v>
      </x:c>
      <x:c r="J22" s="43" t="n">
        <x:v>0.5909090909090909</x:v>
      </x:c>
      <x:c r="K22" s="43" t="n">
        <x:v>1</x:v>
      </x:c>
      <x:c r="L22" s="43" t="n">
        <x:v>0.5</x:v>
      </x:c>
      <x:c r="M22" s="43" t="n">
        <x:v>0.6666666666666666</x:v>
      </x:c>
      <x:c r="N22" s="43" t="n">
        <x:v>0.3333333333333333</x:v>
      </x:c>
      <x:c r="O22" s="43" t="n">
        <x:v>0.6666666666666666</x:v>
      </x:c>
      <x:c r="P22" s="43" t="n">
        <x:v>0.6666666666666666</x:v>
      </x:c>
      <x:c r="Q22" s="43" t="n">
        <x:v>0.5</x:v>
      </x:c>
      <x:c r="R22" s="43" t="n">
        <x:v>0.5</x:v>
      </x:c>
      <x:c r="S22" s="43" t="n">
        <x:v>1</x:v>
      </x:c>
      <x:c r="T22" s="43"/>
      <x:c r="U22" s="43"/>
      <x:c r="V22" s="42" t="str">
        <x:v>H 04, H 07, H 02, H 05, H 03</x:v>
      </x:c>
    </x:row>
    <x:row r="23">
      <x:c r="A23" s="42" t="str">
        <x:v>1º ano</x:v>
      </x:c>
      <x:c r="B23" s="42" t="str">
        <x:v>MARIA LETICIA MARTINS DA SILVA</x:v>
      </x:c>
      <x:c r="C23" s="42" t="str">
        <x:v>Intermediário</x:v>
      </x:c>
      <x:c r="D23" s="42" t="n">
        <x:v>15</x:v>
      </x:c>
      <x:c r="E23" s="42" t="n">
        <x:v>22</x:v>
      </x:c>
      <x:c r="F23" s="43" t="n">
        <x:f>D23/E23</x:f>
        <x:v>0.6818181818181818</x:v>
      </x:c>
      <x:c r="G23" s="42" t="n">
        <x:f>IF(A23="1º ano",17,16)</x:f>
        <x:v>17</x:v>
      </x:c>
      <x:c r="H23" s="42" t="n">
        <x:f>MAX(0,G23-D23)</x:f>
        <x:v>2</x:v>
      </x:c>
      <x:c r="I23" s="42" t="str">
        <x:v>SIM</x:v>
      </x:c>
      <x:c r="J23" s="43" t="n">
        <x:v>0.7272727272727273</x:v>
      </x:c>
      <x:c r="K23" s="43" t="n">
        <x:v>1</x:v>
      </x:c>
      <x:c r="L23" s="43" t="n">
        <x:v>0</x:v>
      </x:c>
      <x:c r="M23" s="43" t="n">
        <x:v>1</x:v>
      </x:c>
      <x:c r="N23" s="43" t="n">
        <x:v>0.6666666666666666</x:v>
      </x:c>
      <x:c r="O23" s="43" t="n">
        <x:v>0.3333333333333333</x:v>
      </x:c>
      <x:c r="P23" s="43" t="n">
        <x:v>1</x:v>
      </x:c>
      <x:c r="Q23" s="43" t="n">
        <x:v>1</x:v>
      </x:c>
      <x:c r="R23" s="43" t="n">
        <x:v>0</x:v>
      </x:c>
      <x:c r="S23" s="43" t="n">
        <x:v>1</x:v>
      </x:c>
      <x:c r="T23" s="43"/>
      <x:c r="U23" s="43"/>
      <x:c r="V23" s="42" t="str">
        <x:v>H 02, H 05, H 04, H 08, H 07</x:v>
      </x:c>
    </x:row>
    <x:row r="24">
      <x:c r="A24" s="42" t="str">
        <x:v>1º ano</x:v>
      </x:c>
      <x:c r="B24" s="42" t="str">
        <x:v>MARIA SOPHIA MARQUES SILVA</x:v>
      </x:c>
      <x:c r="C24" s="42" t="str">
        <x:v>Intermediário</x:v>
      </x:c>
      <x:c r="D24" s="42" t="n">
        <x:v>16</x:v>
      </x:c>
      <x:c r="E24" s="42" t="n">
        <x:v>22</x:v>
      </x:c>
      <x:c r="F24" s="43" t="n">
        <x:f>D24/E24</x:f>
        <x:v>0.7272727272727273</x:v>
      </x:c>
      <x:c r="G24" s="42" t="n">
        <x:f>IF(A24="1º ano",17,16)</x:f>
        <x:v>17</x:v>
      </x:c>
      <x:c r="H24" s="42" t="n">
        <x:f>MAX(0,G24-D24)</x:f>
        <x:v>1</x:v>
      </x:c>
      <x:c r="I24" s="42" t="str">
        <x:v>SIM</x:v>
      </x:c>
      <x:c r="J24" s="43" t="n">
        <x:v>0.9090909090909091</x:v>
      </x:c>
      <x:c r="K24" s="43" t="n">
        <x:v>0.5</x:v>
      </x:c>
      <x:c r="L24" s="43" t="n">
        <x:v>1</x:v>
      </x:c>
      <x:c r="M24" s="43" t="n">
        <x:v>0.6666666666666666</x:v>
      </x:c>
      <x:c r="N24" s="43" t="n">
        <x:v>0.6666666666666666</x:v>
      </x:c>
      <x:c r="O24" s="43" t="n">
        <x:v>0.6666666666666666</x:v>
      </x:c>
      <x:c r="P24" s="43" t="n">
        <x:v>1</x:v>
      </x:c>
      <x:c r="Q24" s="43" t="n">
        <x:v>0</x:v>
      </x:c>
      <x:c r="R24" s="43" t="n">
        <x:v>1</x:v>
      </x:c>
      <x:c r="S24" s="43" t="n">
        <x:v>1</x:v>
      </x:c>
      <x:c r="T24" s="43"/>
      <x:c r="U24" s="43"/>
      <x:c r="V24" s="42" t="str">
        <x:v>H 07, H 04, H 05, H 01, H 03</x:v>
      </x:c>
    </x:row>
    <x:row r="25">
      <x:c r="A25" s="42" t="str">
        <x:v>1º ano</x:v>
      </x:c>
      <x:c r="B25" s="42" t="str">
        <x:v>MARIA YORRANA OLIVEIRA ARAUJO</x:v>
      </x:c>
      <x:c r="C25" s="42" t="str">
        <x:v>Intermediário</x:v>
      </x:c>
      <x:c r="D25" s="42" t="n">
        <x:v>14</x:v>
      </x:c>
      <x:c r="E25" s="42" t="n">
        <x:v>22</x:v>
      </x:c>
      <x:c r="F25" s="43" t="n">
        <x:f>D25/E25</x:f>
        <x:v>0.6363636363636364</x:v>
      </x:c>
      <x:c r="G25" s="42" t="n">
        <x:f>IF(A25="1º ano",17,16)</x:f>
        <x:v>17</x:v>
      </x:c>
      <x:c r="H25" s="42" t="n">
        <x:f>MAX(0,G25-D25)</x:f>
        <x:v>3</x:v>
      </x:c>
      <x:c r="I25" s="42" t="str">
        <x:v>NÃO</x:v>
      </x:c>
      <x:c r="J25" s="43" t="n">
        <x:v>0.5454545454545454</x:v>
      </x:c>
      <x:c r="K25" s="43" t="n">
        <x:v>1</x:v>
      </x:c>
      <x:c r="L25" s="43" t="n">
        <x:v>0.5</x:v>
      </x:c>
      <x:c r="M25" s="43" t="n">
        <x:v>1</x:v>
      </x:c>
      <x:c r="N25" s="43" t="n">
        <x:v>0.3333333333333333</x:v>
      </x:c>
      <x:c r="O25" s="43" t="n">
        <x:v>0.3333333333333333</x:v>
      </x:c>
      <x:c r="P25" s="43" t="n">
        <x:v>0.6666666666666666</x:v>
      </x:c>
      <x:c r="Q25" s="43" t="n">
        <x:v>0.5</x:v>
      </x:c>
      <x:c r="R25" s="43" t="n">
        <x:v>0.5</x:v>
      </x:c>
      <x:c r="S25" s="43" t="n">
        <x:v>1</x:v>
      </x:c>
      <x:c r="T25" s="43"/>
      <x:c r="U25" s="43"/>
      <x:c r="V25" s="42" t="str">
        <x:v>H 04, H 07, H 05, H 02, H 08</x:v>
      </x:c>
    </x:row>
    <x:row r="26">
      <x:c r="A26" s="42" t="str">
        <x:v>1º ano</x:v>
      </x:c>
      <x:c r="B26" s="42" t="str">
        <x:v>MOISES TOLEDO DE SOUSA</x:v>
      </x:c>
      <x:c r="C26" s="42" t="str">
        <x:v>Adequado</x:v>
      </x:c>
      <x:c r="D26" s="42" t="n">
        <x:v>21</x:v>
      </x:c>
      <x:c r="E26" s="42" t="n">
        <x:v>22</x:v>
      </x:c>
      <x:c r="F26" s="43" t="n">
        <x:f>D26/E26</x:f>
        <x:v>0.9545454545454546</x:v>
      </x:c>
      <x:c r="G26" s="42" t="n">
        <x:f>IF(A26="1º ano",17,16)</x:f>
        <x:v>17</x:v>
      </x:c>
      <x:c r="H26" s="42" t="n">
        <x:f>MAX(0,G26-D26)</x:f>
        <x:v>0</x:v>
      </x:c>
      <x:c r="I26" s="42" t="str">
        <x:v>NÃO</x:v>
      </x:c>
      <x:c r="J26" s="43" t="n">
        <x:v>0.7727272727272727</x:v>
      </x:c>
      <x:c r="K26" s="43" t="n">
        <x:v>1</x:v>
      </x:c>
      <x:c r="L26" s="43" t="n">
        <x:v>1</x:v>
      </x:c>
      <x:c r="M26" s="43" t="n">
        <x:v>1</x:v>
      </x:c>
      <x:c r="N26" s="43" t="n">
        <x:v>1</x:v>
      </x:c>
      <x:c r="O26" s="43" t="n">
        <x:v>1</x:v>
      </x:c>
      <x:c r="P26" s="43" t="n">
        <x:v>1</x:v>
      </x:c>
      <x:c r="Q26" s="43" t="n">
        <x:v>1</x:v>
      </x:c>
      <x:c r="R26" s="43" t="n">
        <x:v>0.5</x:v>
      </x:c>
      <x:c r="S26" s="43" t="n">
        <x:v>1</x:v>
      </x:c>
      <x:c r="T26" s="43"/>
      <x:c r="U26" s="43"/>
      <x:c r="V26" s="42" t="str"/>
    </x:row>
    <x:row r="27">
      <x:c r="A27" s="42" t="str">
        <x:v>1º ano</x:v>
      </x:c>
      <x:c r="B27" s="42" t="str">
        <x:v>RUAN LUCAS DE SOUZA SALES</x:v>
      </x:c>
      <x:c r="C27" s="42" t="str">
        <x:v>Adequado</x:v>
      </x:c>
      <x:c r="D27" s="42" t="n">
        <x:v>22</x:v>
      </x:c>
      <x:c r="E27" s="42" t="n">
        <x:v>22</x:v>
      </x:c>
      <x:c r="F27" s="43" t="n">
        <x:f>D27/E27</x:f>
        <x:v>1</x:v>
      </x:c>
      <x:c r="G27" s="42" t="n">
        <x:f>IF(A27="1º ano",17,16)</x:f>
        <x:v>17</x:v>
      </x:c>
      <x:c r="H27" s="42" t="n">
        <x:f>MAX(0,G27-D27)</x:f>
        <x:v>0</x:v>
      </x:c>
      <x:c r="I27" s="42" t="str">
        <x:v>NÃO</x:v>
      </x:c>
      <x:c r="J27" s="43" t="n">
        <x:v>0.9090909090909091</x:v>
      </x:c>
      <x:c r="K27" s="43" t="n">
        <x:v>1</x:v>
      </x:c>
      <x:c r="L27" s="43" t="n">
        <x:v>1</x:v>
      </x:c>
      <x:c r="M27" s="43" t="n">
        <x:v>1</x:v>
      </x:c>
      <x:c r="N27" s="43" t="n">
        <x:v>1</x:v>
      </x:c>
      <x:c r="O27" s="43" t="n">
        <x:v>1</x:v>
      </x:c>
      <x:c r="P27" s="43" t="n">
        <x:v>1</x:v>
      </x:c>
      <x:c r="Q27" s="43" t="n">
        <x:v>1</x:v>
      </x:c>
      <x:c r="R27" s="43" t="n">
        <x:v>1</x:v>
      </x:c>
      <x:c r="S27" s="43" t="n">
        <x:v>1</x:v>
      </x:c>
      <x:c r="T27" s="43"/>
      <x:c r="U27" s="43"/>
      <x:c r="V27" s="42" t="str"/>
    </x:row>
    <x:row r="28">
      <x:c r="A28" s="42" t="str">
        <x:v>1º ano</x:v>
      </x:c>
      <x:c r="B28" s="42" t="str">
        <x:v>SARAH ELOYSE LOPES VERISSIMO</x:v>
      </x:c>
      <x:c r="C28" s="42" t="str">
        <x:v>Adequado</x:v>
      </x:c>
      <x:c r="D28" s="42" t="n">
        <x:v>17</x:v>
      </x:c>
      <x:c r="E28" s="42" t="n">
        <x:v>22</x:v>
      </x:c>
      <x:c r="F28" s="43" t="n">
        <x:f>D28/E28</x:f>
        <x:v>0.7727272727272727</x:v>
      </x:c>
      <x:c r="G28" s="42" t="n">
        <x:f>IF(A28="1º ano",17,16)</x:f>
        <x:v>17</x:v>
      </x:c>
      <x:c r="H28" s="42" t="n">
        <x:f>MAX(0,G28-D28)</x:f>
        <x:v>0</x:v>
      </x:c>
      <x:c r="I28" s="42" t="str">
        <x:v>NÃO</x:v>
      </x:c>
      <x:c r="J28" s="43" t="n">
        <x:v>0.5</x:v>
      </x:c>
      <x:c r="K28" s="43" t="n">
        <x:v>1</x:v>
      </x:c>
      <x:c r="L28" s="43" t="n">
        <x:v>1</x:v>
      </x:c>
      <x:c r="M28" s="43" t="n">
        <x:v>1</x:v>
      </x:c>
      <x:c r="N28" s="43" t="n">
        <x:v>0.3333333333333333</x:v>
      </x:c>
      <x:c r="O28" s="43" t="n">
        <x:v>0.3333333333333333</x:v>
      </x:c>
      <x:c r="P28" s="43" t="n">
        <x:v>1</x:v>
      </x:c>
      <x:c r="Q28" s="43" t="n">
        <x:v>0.5</x:v>
      </x:c>
      <x:c r="R28" s="43" t="n">
        <x:v>1</x:v>
      </x:c>
      <x:c r="S28" s="43" t="n">
        <x:v>1</x:v>
      </x:c>
      <x:c r="T28" s="43"/>
      <x:c r="U28" s="43"/>
      <x:c r="V28" s="42" t="str"/>
    </x:row>
    <x:row r="29">
      <x:c r="A29" s="42" t="str">
        <x:v>2º ano</x:v>
      </x:c>
      <x:c r="B29" s="42" t="str">
        <x:v>ANA LAYLA DA SILVA NASCIMENTO</x:v>
      </x:c>
      <x:c r="C29" s="42" t="str">
        <x:v>Adequado</x:v>
      </x:c>
      <x:c r="D29" s="42" t="n">
        <x:v>21</x:v>
      </x:c>
      <x:c r="E29" s="42" t="n">
        <x:v>22</x:v>
      </x:c>
      <x:c r="F29" s="43" t="n">
        <x:f>D29/E29</x:f>
        <x:v>0.9545454545454546</x:v>
      </x:c>
      <x:c r="G29" s="42" t="n">
        <x:f>IF(A29="1º ano",17,16)</x:f>
        <x:v>16</x:v>
      </x:c>
      <x:c r="H29" s="42" t="n">
        <x:f>MAX(0,G29-D29)</x:f>
        <x:v>0</x:v>
      </x:c>
      <x:c r="I29" s="42" t="str">
        <x:v>NÃO</x:v>
      </x:c>
      <x:c r="J29" s="43" t="n">
        <x:v>0.6818181818181818</x:v>
      </x:c>
      <x:c r="K29" s="43" t="n">
        <x:v>1</x:v>
      </x:c>
      <x:c r="L29" s="43" t="n">
        <x:v>1</x:v>
      </x:c>
      <x:c r="M29" s="43" t="n">
        <x:v>1</x:v>
      </x:c>
      <x:c r="N29" s="43" t="n">
        <x:v>1</x:v>
      </x:c>
      <x:c r="O29" s="43" t="n">
        <x:v>1</x:v>
      </x:c>
      <x:c r="P29" s="43" t="n">
        <x:v>1</x:v>
      </x:c>
      <x:c r="Q29" s="43" t="n">
        <x:v>1</x:v>
      </x:c>
      <x:c r="R29" s="43" t="n">
        <x:v>1</x:v>
      </x:c>
      <x:c r="S29" s="43" t="n">
        <x:v>1</x:v>
      </x:c>
      <x:c r="T29" s="43" t="n">
        <x:v>1</x:v>
      </x:c>
      <x:c r="U29" s="43" t="n">
        <x:v>0.5</x:v>
      </x:c>
      <x:c r="V29" s="42" t="str"/>
    </x:row>
    <x:row r="30">
      <x:c r="A30" s="42" t="str">
        <x:v>2º ano</x:v>
      </x:c>
      <x:c r="B30" s="42" t="str">
        <x:v>ANA LYVIA DA SILVA NASCIMENTO</x:v>
      </x:c>
      <x:c r="C30" s="42" t="str">
        <x:v>Intermediário</x:v>
      </x:c>
      <x:c r="D30" s="42" t="n">
        <x:v>15</x:v>
      </x:c>
      <x:c r="E30" s="42" t="n">
        <x:v>22</x:v>
      </x:c>
      <x:c r="F30" s="43" t="n">
        <x:f>D30/E30</x:f>
        <x:v>0.6818181818181818</x:v>
      </x:c>
      <x:c r="G30" s="42" t="n">
        <x:f>IF(A30="1º ano",17,16)</x:f>
        <x:v>16</x:v>
      </x:c>
      <x:c r="H30" s="42" t="n">
        <x:f>MAX(0,G30-D30)</x:f>
        <x:v>1</x:v>
      </x:c>
      <x:c r="I30" s="42" t="str">
        <x:v>SIM</x:v>
      </x:c>
      <x:c r="J30" s="43" t="n">
        <x:v>0.6818181818181818</x:v>
      </x:c>
      <x:c r="K30" s="43" t="n">
        <x:v>0</x:v>
      </x:c>
      <x:c r="L30" s="43" t="n">
        <x:v>0.5</x:v>
      </x:c>
      <x:c r="M30" s="43" t="n">
        <x:v>1</x:v>
      </x:c>
      <x:c r="N30" s="43" t="n">
        <x:v>0.5</x:v>
      </x:c>
      <x:c r="O30" s="43" t="n">
        <x:v>0.5</x:v>
      </x:c>
      <x:c r="P30" s="43" t="n">
        <x:v>1</x:v>
      </x:c>
      <x:c r="Q30" s="43" t="n">
        <x:v>0.5</x:v>
      </x:c>
      <x:c r="R30" s="43" t="n">
        <x:v>0.5</x:v>
      </x:c>
      <x:c r="S30" s="43" t="n">
        <x:v>1</x:v>
      </x:c>
      <x:c r="T30" s="43" t="n">
        <x:v>1</x:v>
      </x:c>
      <x:c r="U30" s="43" t="n">
        <x:v>1</x:v>
      </x:c>
      <x:c r="V30" s="42" t="str">
        <x:v>H 01, H 07, H 08, H 02, H 05</x:v>
      </x:c>
    </x:row>
    <x:row r="31">
      <x:c r="A31" s="42" t="str">
        <x:v>2º ano</x:v>
      </x:c>
      <x:c r="B31" s="42" t="str">
        <x:v>ANGELA SOPHIA BARBOZA DE OLIVEIRA</x:v>
      </x:c>
      <x:c r="C31" s="42" t="str">
        <x:v>Adequado</x:v>
      </x:c>
      <x:c r="D31" s="42" t="n">
        <x:v>22</x:v>
      </x:c>
      <x:c r="E31" s="42" t="n">
        <x:v>22</x:v>
      </x:c>
      <x:c r="F31" s="43" t="n">
        <x:f>D31/E31</x:f>
        <x:v>1</x:v>
      </x:c>
      <x:c r="G31" s="42" t="n">
        <x:f>IF(A31="1º ano",17,16)</x:f>
        <x:v>16</x:v>
      </x:c>
      <x:c r="H31" s="42" t="n">
        <x:f>MAX(0,G31-D31)</x:f>
        <x:v>0</x:v>
      </x:c>
      <x:c r="I31" s="42" t="str">
        <x:v>NÃO</x:v>
      </x:c>
      <x:c r="J31" s="43" t="n">
        <x:v>0.8636363636363636</x:v>
      </x:c>
      <x:c r="K31" s="43" t="n">
        <x:v>1</x:v>
      </x:c>
      <x:c r="L31" s="43" t="n">
        <x:v>1</x:v>
      </x:c>
      <x:c r="M31" s="43" t="n">
        <x:v>1</x:v>
      </x:c>
      <x:c r="N31" s="43" t="n">
        <x:v>1</x:v>
      </x:c>
      <x:c r="O31" s="43" t="n">
        <x:v>1</x:v>
      </x:c>
      <x:c r="P31" s="43" t="n">
        <x:v>1</x:v>
      </x:c>
      <x:c r="Q31" s="43" t="n">
        <x:v>1</x:v>
      </x:c>
      <x:c r="R31" s="43" t="n">
        <x:v>1</x:v>
      </x:c>
      <x:c r="S31" s="43" t="n">
        <x:v>1</x:v>
      </x:c>
      <x:c r="T31" s="43" t="n">
        <x:v>1</x:v>
      </x:c>
      <x:c r="U31" s="43" t="n">
        <x:v>1</x:v>
      </x:c>
      <x:c r="V31" s="42" t="str"/>
    </x:row>
    <x:row r="32">
      <x:c r="A32" s="42" t="str">
        <x:v>2º ano</x:v>
      </x:c>
      <x:c r="B32" s="42" t="str">
        <x:v>ANTONIA AURORA GOMES MELO</x:v>
      </x:c>
      <x:c r="C32" s="42" t="str">
        <x:v>Adequado</x:v>
      </x:c>
      <x:c r="D32" s="42" t="n">
        <x:v>22</x:v>
      </x:c>
      <x:c r="E32" s="42" t="n">
        <x:v>22</x:v>
      </x:c>
      <x:c r="F32" s="43" t="n">
        <x:f>D32/E32</x:f>
        <x:v>1</x:v>
      </x:c>
      <x:c r="G32" s="42" t="n">
        <x:f>IF(A32="1º ano",17,16)</x:f>
        <x:v>16</x:v>
      </x:c>
      <x:c r="H32" s="42" t="n">
        <x:f>MAX(0,G32-D32)</x:f>
        <x:v>0</x:v>
      </x:c>
      <x:c r="I32" s="42" t="str">
        <x:v>NÃO</x:v>
      </x:c>
      <x:c r="J32" s="43" t="n">
        <x:v>0.8181818181818182</x:v>
      </x:c>
      <x:c r="K32" s="43" t="n">
        <x:v>1</x:v>
      </x:c>
      <x:c r="L32" s="43" t="n">
        <x:v>1</x:v>
      </x:c>
      <x:c r="M32" s="43" t="n">
        <x:v>1</x:v>
      </x:c>
      <x:c r="N32" s="43" t="n">
        <x:v>1</x:v>
      </x:c>
      <x:c r="O32" s="43" t="n">
        <x:v>1</x:v>
      </x:c>
      <x:c r="P32" s="43" t="n">
        <x:v>1</x:v>
      </x:c>
      <x:c r="Q32" s="43" t="n">
        <x:v>1</x:v>
      </x:c>
      <x:c r="R32" s="43" t="n">
        <x:v>1</x:v>
      </x:c>
      <x:c r="S32" s="43" t="n">
        <x:v>1</x:v>
      </x:c>
      <x:c r="T32" s="43" t="n">
        <x:v>1</x:v>
      </x:c>
      <x:c r="U32" s="43" t="n">
        <x:v>1</x:v>
      </x:c>
      <x:c r="V32" s="42" t="str"/>
    </x:row>
    <x:row r="33">
      <x:c r="A33" s="42" t="str">
        <x:v>2º ano</x:v>
      </x:c>
      <x:c r="B33" s="42" t="str">
        <x:v>ANTONIO SAMUEL DE OLIVEIRA VERAS</x:v>
      </x:c>
      <x:c r="C33" s="42" t="str">
        <x:v>Defasagem</x:v>
      </x:c>
      <x:c r="D33" s="42" t="n">
        <x:v>5</x:v>
      </x:c>
      <x:c r="E33" s="42" t="n">
        <x:v>22</x:v>
      </x:c>
      <x:c r="F33" s="43" t="n">
        <x:f>D33/E33</x:f>
        <x:v>0.22727272727272727</x:v>
      </x:c>
      <x:c r="G33" s="42" t="n">
        <x:f>IF(A33="1º ano",17,16)</x:f>
        <x:v>16</x:v>
      </x:c>
      <x:c r="H33" s="42" t="n">
        <x:f>MAX(0,G33-D33)</x:f>
        <x:v>11</x:v>
      </x:c>
      <x:c r="I33" s="42" t="str">
        <x:v>NÃO</x:v>
      </x:c>
      <x:c r="J33" s="43" t="n">
        <x:v>0.3181818181818182</x:v>
      </x:c>
      <x:c r="K33" s="43" t="n">
        <x:v>0</x:v>
      </x:c>
      <x:c r="L33" s="43" t="n">
        <x:v>0</x:v>
      </x:c>
      <x:c r="M33" s="43" t="n">
        <x:v>1</x:v>
      </x:c>
      <x:c r="N33" s="43" t="n">
        <x:v>0</x:v>
      </x:c>
      <x:c r="O33" s="43" t="n">
        <x:v>0.5</x:v>
      </x:c>
      <x:c r="P33" s="43" t="n">
        <x:v>0</x:v>
      </x:c>
      <x:c r="Q33" s="43" t="n">
        <x:v>0</x:v>
      </x:c>
      <x:c r="R33" s="43" t="n">
        <x:v>0</x:v>
      </x:c>
      <x:c r="S33" s="43" t="n">
        <x:v>1</x:v>
      </x:c>
      <x:c r="T33" s="43" t="n">
        <x:v>0</x:v>
      </x:c>
      <x:c r="U33" s="43" t="n">
        <x:v>0</x:v>
      </x:c>
      <x:c r="V33" s="42" t="str">
        <x:v>H 07, H 01, H 08, H 02, H 06</x:v>
      </x:c>
    </x:row>
    <x:row r="34">
      <x:c r="A34" s="42" t="str">
        <x:v>2º ano</x:v>
      </x:c>
      <x:c r="B34" s="42" t="str">
        <x:v>CECILIA AQUINO DE SOUSA</x:v>
      </x:c>
      <x:c r="C34" s="42" t="str">
        <x:v>Intermediário</x:v>
      </x:c>
      <x:c r="D34" s="42" t="n">
        <x:v>14</x:v>
      </x:c>
      <x:c r="E34" s="42" t="n">
        <x:v>22</x:v>
      </x:c>
      <x:c r="F34" s="43" t="n">
        <x:f>D34/E34</x:f>
        <x:v>0.6363636363636364</x:v>
      </x:c>
      <x:c r="G34" s="42" t="n">
        <x:f>IF(A34="1º ano",17,16)</x:f>
        <x:v>16</x:v>
      </x:c>
      <x:c r="H34" s="42" t="n">
        <x:f>MAX(0,G34-D34)</x:f>
        <x:v>2</x:v>
      </x:c>
      <x:c r="I34" s="42" t="str">
        <x:v>SIM</x:v>
      </x:c>
      <x:c r="J34" s="43" t="n">
        <x:v>0.8181818181818182</x:v>
      </x:c>
      <x:c r="K34" s="43" t="n">
        <x:v>0.5</x:v>
      </x:c>
      <x:c r="L34" s="43" t="n">
        <x:v>0</x:v>
      </x:c>
      <x:c r="M34" s="43" t="n">
        <x:v>1</x:v>
      </x:c>
      <x:c r="N34" s="43" t="n">
        <x:v>1</x:v>
      </x:c>
      <x:c r="O34" s="43" t="n">
        <x:v>1</x:v>
      </x:c>
      <x:c r="P34" s="43" t="n">
        <x:v>0.5</x:v>
      </x:c>
      <x:c r="Q34" s="43" t="n">
        <x:v>0</x:v>
      </x:c>
      <x:c r="R34" s="43" t="n">
        <x:v>0.5</x:v>
      </x:c>
      <x:c r="S34" s="43" t="n">
        <x:v>1</x:v>
      </x:c>
      <x:c r="T34" s="43" t="n">
        <x:v>0.5</x:v>
      </x:c>
      <x:c r="U34" s="43" t="n">
        <x:v>1</x:v>
      </x:c>
      <x:c r="V34" s="42" t="str">
        <x:v>H 07, H 02, H 01, H 08, H 06</x:v>
      </x:c>
    </x:row>
    <x:row r="35">
      <x:c r="A35" s="42" t="str">
        <x:v>2º ano</x:v>
      </x:c>
      <x:c r="B35" s="42" t="str">
        <x:v>DAVI ARAUJO MARTINS</x:v>
      </x:c>
      <x:c r="C35" s="42" t="str">
        <x:v>Adequado</x:v>
      </x:c>
      <x:c r="D35" s="42" t="n">
        <x:v>19</x:v>
      </x:c>
      <x:c r="E35" s="42" t="n">
        <x:v>22</x:v>
      </x:c>
      <x:c r="F35" s="43" t="n">
        <x:f>D35/E35</x:f>
        <x:v>0.8636363636363636</x:v>
      </x:c>
      <x:c r="G35" s="42" t="n">
        <x:f>IF(A35="1º ano",17,16)</x:f>
        <x:v>16</x:v>
      </x:c>
      <x:c r="H35" s="42" t="n">
        <x:f>MAX(0,G35-D35)</x:f>
        <x:v>0</x:v>
      </x:c>
      <x:c r="I35" s="42" t="str">
        <x:v>NÃO</x:v>
      </x:c>
      <x:c r="J35" s="43" t="n">
        <x:v>0.6363636363636364</x:v>
      </x:c>
      <x:c r="K35" s="43" t="n">
        <x:v>0.5</x:v>
      </x:c>
      <x:c r="L35" s="43" t="n">
        <x:v>1</x:v>
      </x:c>
      <x:c r="M35" s="43" t="n">
        <x:v>1</x:v>
      </x:c>
      <x:c r="N35" s="43" t="n">
        <x:v>1</x:v>
      </x:c>
      <x:c r="O35" s="43" t="n">
        <x:v>1</x:v>
      </x:c>
      <x:c r="P35" s="43" t="n">
        <x:v>1</x:v>
      </x:c>
      <x:c r="Q35" s="43" t="n">
        <x:v>0.5</x:v>
      </x:c>
      <x:c r="R35" s="43" t="n">
        <x:v>0.5</x:v>
      </x:c>
      <x:c r="S35" s="43" t="n">
        <x:v>1</x:v>
      </x:c>
      <x:c r="T35" s="43" t="n">
        <x:v>1</x:v>
      </x:c>
      <x:c r="U35" s="43" t="n">
        <x:v>1</x:v>
      </x:c>
      <x:c r="V35" s="42" t="str"/>
    </x:row>
    <x:row r="36">
      <x:c r="A36" s="42" t="str">
        <x:v>2º ano</x:v>
      </x:c>
      <x:c r="B36" s="42" t="str">
        <x:v>FRANCISCO LUCCA NEVES GONCALVES</x:v>
      </x:c>
      <x:c r="C36" s="42" t="str">
        <x:v>Adequado</x:v>
      </x:c>
      <x:c r="D36" s="42" t="n">
        <x:v>22</x:v>
      </x:c>
      <x:c r="E36" s="42" t="n">
        <x:v>22</x:v>
      </x:c>
      <x:c r="F36" s="43" t="n">
        <x:f>D36/E36</x:f>
        <x:v>1</x:v>
      </x:c>
      <x:c r="G36" s="42" t="n">
        <x:f>IF(A36="1º ano",17,16)</x:f>
        <x:v>16</x:v>
      </x:c>
      <x:c r="H36" s="42" t="n">
        <x:f>MAX(0,G36-D36)</x:f>
        <x:v>0</x:v>
      </x:c>
      <x:c r="I36" s="42" t="str">
        <x:v>NÃO</x:v>
      </x:c>
      <x:c r="J36" s="43" t="n">
        <x:v>0.5</x:v>
      </x:c>
      <x:c r="K36" s="43" t="n">
        <x:v>1</x:v>
      </x:c>
      <x:c r="L36" s="43" t="n">
        <x:v>1</x:v>
      </x:c>
      <x:c r="M36" s="43" t="n">
        <x:v>1</x:v>
      </x:c>
      <x:c r="N36" s="43" t="n">
        <x:v>1</x:v>
      </x:c>
      <x:c r="O36" s="43" t="n">
        <x:v>1</x:v>
      </x:c>
      <x:c r="P36" s="43" t="n">
        <x:v>1</x:v>
      </x:c>
      <x:c r="Q36" s="43" t="n">
        <x:v>1</x:v>
      </x:c>
      <x:c r="R36" s="43" t="n">
        <x:v>1</x:v>
      </x:c>
      <x:c r="S36" s="43" t="n">
        <x:v>1</x:v>
      </x:c>
      <x:c r="T36" s="43" t="n">
        <x:v>1</x:v>
      </x:c>
      <x:c r="U36" s="43" t="n">
        <x:v>1</x:v>
      </x:c>
      <x:c r="V36" s="42" t="str"/>
    </x:row>
    <x:row r="37">
      <x:c r="A37" s="42" t="str">
        <x:v>2º ano</x:v>
      </x:c>
      <x:c r="B37" s="42" t="str">
        <x:v>GABRIEL MACEDO DE MELO</x:v>
      </x:c>
      <x:c r="C37" s="42" t="str">
        <x:v>Adequado</x:v>
      </x:c>
      <x:c r="D37" s="42" t="n">
        <x:v>22</x:v>
      </x:c>
      <x:c r="E37" s="42" t="n">
        <x:v>22</x:v>
      </x:c>
      <x:c r="F37" s="43" t="n">
        <x:f>D37/E37</x:f>
        <x:v>1</x:v>
      </x:c>
      <x:c r="G37" s="42" t="n">
        <x:f>IF(A37="1º ano",17,16)</x:f>
        <x:v>16</x:v>
      </x:c>
      <x:c r="H37" s="42" t="n">
        <x:f>MAX(0,G37-D37)</x:f>
        <x:v>0</x:v>
      </x:c>
      <x:c r="I37" s="42" t="str">
        <x:v>NÃO</x:v>
      </x:c>
      <x:c r="J37" s="43" t="n">
        <x:v>0.8181818181818182</x:v>
      </x:c>
      <x:c r="K37" s="43" t="n">
        <x:v>1</x:v>
      </x:c>
      <x:c r="L37" s="43" t="n">
        <x:v>1</x:v>
      </x:c>
      <x:c r="M37" s="43" t="n">
        <x:v>1</x:v>
      </x:c>
      <x:c r="N37" s="43" t="n">
        <x:v>1</x:v>
      </x:c>
      <x:c r="O37" s="43" t="n">
        <x:v>1</x:v>
      </x:c>
      <x:c r="P37" s="43" t="n">
        <x:v>1</x:v>
      </x:c>
      <x:c r="Q37" s="43" t="n">
        <x:v>1</x:v>
      </x:c>
      <x:c r="R37" s="43" t="n">
        <x:v>1</x:v>
      </x:c>
      <x:c r="S37" s="43" t="n">
        <x:v>1</x:v>
      </x:c>
      <x:c r="T37" s="43" t="n">
        <x:v>1</x:v>
      </x:c>
      <x:c r="U37" s="43" t="n">
        <x:v>1</x:v>
      </x:c>
      <x:c r="V37" s="42" t="str"/>
    </x:row>
    <x:row r="38">
      <x:c r="A38" s="42" t="str">
        <x:v>2º ano</x:v>
      </x:c>
      <x:c r="B38" s="42" t="str">
        <x:v>GUILHERME MATIAS BRAZ</x:v>
      </x:c>
      <x:c r="C38" s="42" t="str">
        <x:v>Adequado</x:v>
      </x:c>
      <x:c r="D38" s="42" t="n">
        <x:v>19</x:v>
      </x:c>
      <x:c r="E38" s="42" t="n">
        <x:v>22</x:v>
      </x:c>
      <x:c r="F38" s="43" t="n">
        <x:f>D38/E38</x:f>
        <x:v>0.8636363636363636</x:v>
      </x:c>
      <x:c r="G38" s="42" t="n">
        <x:f>IF(A38="1º ano",17,16)</x:f>
        <x:v>16</x:v>
      </x:c>
      <x:c r="H38" s="42" t="n">
        <x:f>MAX(0,G38-D38)</x:f>
        <x:v>0</x:v>
      </x:c>
      <x:c r="I38" s="42" t="str">
        <x:v>NÃO</x:v>
      </x:c>
      <x:c r="J38" s="43" t="n">
        <x:v>0.7272727272727273</x:v>
      </x:c>
      <x:c r="K38" s="43" t="n">
        <x:v>0.5</x:v>
      </x:c>
      <x:c r="L38" s="43" t="n">
        <x:v>1</x:v>
      </x:c>
      <x:c r="M38" s="43" t="n">
        <x:v>1</x:v>
      </x:c>
      <x:c r="N38" s="43" t="n">
        <x:v>1</x:v>
      </x:c>
      <x:c r="O38" s="43" t="n">
        <x:v>1</x:v>
      </x:c>
      <x:c r="P38" s="43" t="n">
        <x:v>1</x:v>
      </x:c>
      <x:c r="Q38" s="43" t="n">
        <x:v>0.5</x:v>
      </x:c>
      <x:c r="R38" s="43" t="n">
        <x:v>0.5</x:v>
      </x:c>
      <x:c r="S38" s="43" t="n">
        <x:v>1</x:v>
      </x:c>
      <x:c r="T38" s="43" t="n">
        <x:v>1</x:v>
      </x:c>
      <x:c r="U38" s="43" t="n">
        <x:v>1</x:v>
      </x:c>
      <x:c r="V38" s="42" t="str"/>
    </x:row>
    <x:row r="39">
      <x:c r="A39" s="42" t="str">
        <x:v>2º ano</x:v>
      </x:c>
      <x:c r="B39" s="42" t="str">
        <x:v>ICARO RAVI BEZERRA DOS SANTOS</x:v>
      </x:c>
      <x:c r="C39" s="42" t="str">
        <x:v>Adequado</x:v>
      </x:c>
      <x:c r="D39" s="42" t="n">
        <x:v>19</x:v>
      </x:c>
      <x:c r="E39" s="42" t="n">
        <x:v>22</x:v>
      </x:c>
      <x:c r="F39" s="43" t="n">
        <x:f>D39/E39</x:f>
        <x:v>0.8636363636363636</x:v>
      </x:c>
      <x:c r="G39" s="42" t="n">
        <x:f>IF(A39="1º ano",17,16)</x:f>
        <x:v>16</x:v>
      </x:c>
      <x:c r="H39" s="42" t="n">
        <x:f>MAX(0,G39-D39)</x:f>
        <x:v>0</x:v>
      </x:c>
      <x:c r="I39" s="42" t="str">
        <x:v>NÃO</x:v>
      </x:c>
      <x:c r="J39" s="43" t="n">
        <x:v>0.8636363636363636</x:v>
      </x:c>
      <x:c r="K39" s="43" t="n">
        <x:v>0</x:v>
      </x:c>
      <x:c r="L39" s="43" t="n">
        <x:v>1</x:v>
      </x:c>
      <x:c r="M39" s="43" t="n">
        <x:v>1</x:v>
      </x:c>
      <x:c r="N39" s="43" t="n">
        <x:v>1</x:v>
      </x:c>
      <x:c r="O39" s="43" t="n">
        <x:v>0.5</x:v>
      </x:c>
      <x:c r="P39" s="43" t="n">
        <x:v>1</x:v>
      </x:c>
      <x:c r="Q39" s="43" t="n">
        <x:v>1</x:v>
      </x:c>
      <x:c r="R39" s="43" t="n">
        <x:v>1</x:v>
      </x:c>
      <x:c r="S39" s="43" t="n">
        <x:v>1</x:v>
      </x:c>
      <x:c r="T39" s="43" t="n">
        <x:v>1</x:v>
      </x:c>
      <x:c r="U39" s="43" t="n">
        <x:v>1</x:v>
      </x:c>
      <x:c r="V39" s="42" t="str"/>
    </x:row>
    <x:row r="40">
      <x:c r="A40" s="42" t="str">
        <x:v>2º ano</x:v>
      </x:c>
      <x:c r="B40" s="42" t="str">
        <x:v>ICARO SOARES LEITE DE SOUSA</x:v>
      </x:c>
      <x:c r="C40" s="42" t="str">
        <x:v>Adequado</x:v>
      </x:c>
      <x:c r="D40" s="42" t="n">
        <x:v>19</x:v>
      </x:c>
      <x:c r="E40" s="42" t="n">
        <x:v>22</x:v>
      </x:c>
      <x:c r="F40" s="43" t="n">
        <x:f>D40/E40</x:f>
        <x:v>0.8636363636363636</x:v>
      </x:c>
      <x:c r="G40" s="42" t="n">
        <x:f>IF(A40="1º ano",17,16)</x:f>
        <x:v>16</x:v>
      </x:c>
      <x:c r="H40" s="42" t="n">
        <x:f>MAX(0,G40-D40)</x:f>
        <x:v>0</x:v>
      </x:c>
      <x:c r="I40" s="42" t="str">
        <x:v>NÃO</x:v>
      </x:c>
      <x:c r="J40" s="43" t="n">
        <x:v>0.4090909090909091</x:v>
      </x:c>
      <x:c r="K40" s="43" t="n">
        <x:v>0.5</x:v>
      </x:c>
      <x:c r="L40" s="43" t="n">
        <x:v>1</x:v>
      </x:c>
      <x:c r="M40" s="43" t="n">
        <x:v>1</x:v>
      </x:c>
      <x:c r="N40" s="43" t="n">
        <x:v>1</x:v>
      </x:c>
      <x:c r="O40" s="43" t="n">
        <x:v>1</x:v>
      </x:c>
      <x:c r="P40" s="43" t="n">
        <x:v>1</x:v>
      </x:c>
      <x:c r="Q40" s="43" t="n">
        <x:v>0.5</x:v>
      </x:c>
      <x:c r="R40" s="43" t="n">
        <x:v>0.5</x:v>
      </x:c>
      <x:c r="S40" s="43" t="n">
        <x:v>1</x:v>
      </x:c>
      <x:c r="T40" s="43" t="n">
        <x:v>1</x:v>
      </x:c>
      <x:c r="U40" s="43" t="n">
        <x:v>1</x:v>
      </x:c>
      <x:c r="V40" s="42" t="str"/>
    </x:row>
    <x:row r="41">
      <x:c r="A41" s="42" t="str">
        <x:v>2º ano</x:v>
      </x:c>
      <x:c r="B41" s="42" t="str">
        <x:v>ISIS SOARES CASTRO</x:v>
      </x:c>
      <x:c r="C41" s="42" t="str">
        <x:v>Adequado</x:v>
      </x:c>
      <x:c r="D41" s="42" t="n">
        <x:v>17</x:v>
      </x:c>
      <x:c r="E41" s="42" t="n">
        <x:v>22</x:v>
      </x:c>
      <x:c r="F41" s="43" t="n">
        <x:f>D41/E41</x:f>
        <x:v>0.7727272727272727</x:v>
      </x:c>
      <x:c r="G41" s="42" t="n">
        <x:f>IF(A41="1º ano",17,16)</x:f>
        <x:v>16</x:v>
      </x:c>
      <x:c r="H41" s="42" t="n">
        <x:f>MAX(0,G41-D41)</x:f>
        <x:v>0</x:v>
      </x:c>
      <x:c r="I41" s="42" t="str">
        <x:v>NÃO</x:v>
      </x:c>
      <x:c r="J41" s="43"/>
      <x:c r="K41" s="43" t="n">
        <x:v>0</x:v>
      </x:c>
      <x:c r="L41" s="43" t="n">
        <x:v>1</x:v>
      </x:c>
      <x:c r="M41" s="43" t="n">
        <x:v>0.5</x:v>
      </x:c>
      <x:c r="N41" s="43" t="n">
        <x:v>1</x:v>
      </x:c>
      <x:c r="O41" s="43" t="n">
        <x:v>0.5</x:v>
      </x:c>
      <x:c r="P41" s="43" t="n">
        <x:v>0.5</x:v>
      </x:c>
      <x:c r="Q41" s="43" t="n">
        <x:v>1</x:v>
      </x:c>
      <x:c r="R41" s="43" t="n">
        <x:v>1</x:v>
      </x:c>
      <x:c r="S41" s="43" t="n">
        <x:v>1</x:v>
      </x:c>
      <x:c r="T41" s="43" t="n">
        <x:v>1</x:v>
      </x:c>
      <x:c r="U41" s="43" t="n">
        <x:v>1</x:v>
      </x:c>
      <x:c r="V41" s="42" t="str"/>
    </x:row>
    <x:row r="42">
      <x:c r="A42" s="42" t="str">
        <x:v>2º ano</x:v>
      </x:c>
      <x:c r="B42" s="42" t="str">
        <x:v>JOAO GABRIEL RODRIGUES OLIVEIRO</x:v>
      </x:c>
      <x:c r="C42" s="42" t="str">
        <x:v>Adequado</x:v>
      </x:c>
      <x:c r="D42" s="42" t="n">
        <x:v>18</x:v>
      </x:c>
      <x:c r="E42" s="42" t="n">
        <x:v>22</x:v>
      </x:c>
      <x:c r="F42" s="43" t="n">
        <x:f>D42/E42</x:f>
        <x:v>0.8181818181818182</x:v>
      </x:c>
      <x:c r="G42" s="42" t="n">
        <x:f>IF(A42="1º ano",17,16)</x:f>
        <x:v>16</x:v>
      </x:c>
      <x:c r="H42" s="42" t="n">
        <x:f>MAX(0,G42-D42)</x:f>
        <x:v>0</x:v>
      </x:c>
      <x:c r="I42" s="42" t="str">
        <x:v>NÃO</x:v>
      </x:c>
      <x:c r="J42" s="43" t="n">
        <x:v>1</x:v>
      </x:c>
      <x:c r="K42" s="43" t="n">
        <x:v>1</x:v>
      </x:c>
      <x:c r="L42" s="43" t="n">
        <x:v>1</x:v>
      </x:c>
      <x:c r="M42" s="43" t="n">
        <x:v>0.5</x:v>
      </x:c>
      <x:c r="N42" s="43" t="n">
        <x:v>1</x:v>
      </x:c>
      <x:c r="O42" s="43" t="n">
        <x:v>1</x:v>
      </x:c>
      <x:c r="P42" s="43" t="n">
        <x:v>1</x:v>
      </x:c>
      <x:c r="Q42" s="43" t="n">
        <x:v>0.5</x:v>
      </x:c>
      <x:c r="R42" s="43" t="n">
        <x:v>0.5</x:v>
      </x:c>
      <x:c r="S42" s="43" t="n">
        <x:v>1</x:v>
      </x:c>
      <x:c r="T42" s="43" t="n">
        <x:v>1</x:v>
      </x:c>
      <x:c r="U42" s="43" t="n">
        <x:v>0.5</x:v>
      </x:c>
      <x:c r="V42" s="42" t="str"/>
    </x:row>
    <x:row r="43">
      <x:c r="A43" s="42" t="str">
        <x:v>2º ano</x:v>
      </x:c>
      <x:c r="B43" s="42" t="str">
        <x:v>JOAO MATHEUS RODRIGUES MOREIRA</x:v>
      </x:c>
      <x:c r="C43" s="42" t="str">
        <x:v>Defasagem</x:v>
      </x:c>
      <x:c r="D43" s="42" t="n">
        <x:v>10</x:v>
      </x:c>
      <x:c r="E43" s="42" t="n">
        <x:v>22</x:v>
      </x:c>
      <x:c r="F43" s="43" t="n">
        <x:f>D43/E43</x:f>
        <x:v>0.45454545454545453</x:v>
      </x:c>
      <x:c r="G43" s="42" t="n">
        <x:f>IF(A43="1º ano",17,16)</x:f>
        <x:v>16</x:v>
      </x:c>
      <x:c r="H43" s="42" t="n">
        <x:f>MAX(0,G43-D43)</x:f>
        <x:v>6</x:v>
      </x:c>
      <x:c r="I43" s="42" t="str">
        <x:v>SIM</x:v>
      </x:c>
      <x:c r="J43" s="43" t="n">
        <x:v>0.8636363636363636</x:v>
      </x:c>
      <x:c r="K43" s="43" t="n">
        <x:v>0</x:v>
      </x:c>
      <x:c r="L43" s="43" t="n">
        <x:v>0.5</x:v>
      </x:c>
      <x:c r="M43" s="43" t="n">
        <x:v>1</x:v>
      </x:c>
      <x:c r="N43" s="43" t="n">
        <x:v>1</x:v>
      </x:c>
      <x:c r="O43" s="43" t="n">
        <x:v>0.5</x:v>
      </x:c>
      <x:c r="P43" s="43" t="n">
        <x:v>0</x:v>
      </x:c>
      <x:c r="Q43" s="43" t="n">
        <x:v>0</x:v>
      </x:c>
      <x:c r="R43" s="43" t="n">
        <x:v>0.5</x:v>
      </x:c>
      <x:c r="S43" s="43" t="n">
        <x:v>1</x:v>
      </x:c>
      <x:c r="T43" s="43" t="n">
        <x:v>0</x:v>
      </x:c>
      <x:c r="U43" s="43" t="n">
        <x:v>0.5</x:v>
      </x:c>
      <x:c r="V43" s="42" t="str">
        <x:v>H 07, H 01, H 06, H 10, H 08</x:v>
      </x:c>
    </x:row>
    <x:row r="44">
      <x:c r="A44" s="42" t="str">
        <x:v>2º ano</x:v>
      </x:c>
      <x:c r="B44" s="42" t="str">
        <x:v>JOSE BRENO DA SILVA GOMES</x:v>
      </x:c>
      <x:c r="C44" s="42" t="str">
        <x:v>Defasagem</x:v>
      </x:c>
      <x:c r="D44" s="42" t="n">
        <x:v>11</x:v>
      </x:c>
      <x:c r="E44" s="42" t="n">
        <x:v>22</x:v>
      </x:c>
      <x:c r="F44" s="43" t="n">
        <x:f>D44/E44</x:f>
        <x:v>0.5</x:v>
      </x:c>
      <x:c r="G44" s="42" t="n">
        <x:f>IF(A44="1º ano",17,16)</x:f>
        <x:v>16</x:v>
      </x:c>
      <x:c r="H44" s="42" t="n">
        <x:f>MAX(0,G44-D44)</x:f>
        <x:v>5</x:v>
      </x:c>
      <x:c r="I44" s="42" t="str">
        <x:v>SIM</x:v>
      </x:c>
      <x:c r="J44" s="43" t="n">
        <x:v>0.5909090909090909</x:v>
      </x:c>
      <x:c r="K44" s="43" t="n">
        <x:v>0</x:v>
      </x:c>
      <x:c r="L44" s="43" t="n">
        <x:v>1</x:v>
      </x:c>
      <x:c r="M44" s="43" t="n">
        <x:v>0.5</x:v>
      </x:c>
      <x:c r="N44" s="43" t="n">
        <x:v>1</x:v>
      </x:c>
      <x:c r="O44" s="43" t="n">
        <x:v>0.5</x:v>
      </x:c>
      <x:c r="P44" s="43" t="n">
        <x:v>0.5</x:v>
      </x:c>
      <x:c r="Q44" s="43" t="n">
        <x:v>0</x:v>
      </x:c>
      <x:c r="R44" s="43" t="n">
        <x:v>0.5</x:v>
      </x:c>
      <x:c r="S44" s="43" t="n">
        <x:v>0.5</x:v>
      </x:c>
      <x:c r="T44" s="43" t="n">
        <x:v>0.5</x:v>
      </x:c>
      <x:c r="U44" s="43" t="n">
        <x:v>0.5</x:v>
      </x:c>
      <x:c r="V44" s="42" t="str">
        <x:v>H 07, H 01, H 08, H 06, H 05</x:v>
      </x:c>
    </x:row>
    <x:row r="45">
      <x:c r="A45" s="42" t="str">
        <x:v>2º ano</x:v>
      </x:c>
      <x:c r="B45" s="42" t="str">
        <x:v>JOSE MIGUEL RODRIGUES DE SOUZA</x:v>
      </x:c>
      <x:c r="C45" s="42" t="str">
        <x:v>Adequado</x:v>
      </x:c>
      <x:c r="D45" s="42" t="n">
        <x:v>16</x:v>
      </x:c>
      <x:c r="E45" s="42" t="n">
        <x:v>22</x:v>
      </x:c>
      <x:c r="F45" s="43" t="n">
        <x:f>D45/E45</x:f>
        <x:v>0.7272727272727273</x:v>
      </x:c>
      <x:c r="G45" s="42" t="n">
        <x:f>IF(A45="1º ano",17,16)</x:f>
        <x:v>16</x:v>
      </x:c>
      <x:c r="H45" s="42" t="n">
        <x:f>MAX(0,G45-D45)</x:f>
        <x:v>0</x:v>
      </x:c>
      <x:c r="I45" s="42" t="str">
        <x:v>NÃO</x:v>
      </x:c>
      <x:c r="J45" s="43" t="n">
        <x:v>0.6363636363636364</x:v>
      </x:c>
      <x:c r="K45" s="43" t="n">
        <x:v>0.5</x:v>
      </x:c>
      <x:c r="L45" s="43" t="n">
        <x:v>1</x:v>
      </x:c>
      <x:c r="M45" s="43" t="n">
        <x:v>1</x:v>
      </x:c>
      <x:c r="N45" s="43" t="n">
        <x:v>0.5</x:v>
      </x:c>
      <x:c r="O45" s="43" t="n">
        <x:v>0.5</x:v>
      </x:c>
      <x:c r="P45" s="43" t="n">
        <x:v>1</x:v>
      </x:c>
      <x:c r="Q45" s="43" t="n">
        <x:v>0.5</x:v>
      </x:c>
      <x:c r="R45" s="43" t="n">
        <x:v>0</x:v>
      </x:c>
      <x:c r="S45" s="43" t="n">
        <x:v>1</x:v>
      </x:c>
      <x:c r="T45" s="43" t="n">
        <x:v>1</x:v>
      </x:c>
      <x:c r="U45" s="43" t="n">
        <x:v>1</x:v>
      </x:c>
      <x:c r="V45" s="42" t="str"/>
    </x:row>
    <x:row r="46">
      <x:c r="A46" s="42" t="str">
        <x:v>2º ano</x:v>
      </x:c>
      <x:c r="B46" s="42" t="str">
        <x:v>MARCELO DAVI UCHOA FERREIRA</x:v>
      </x:c>
      <x:c r="C46" s="42" t="str">
        <x:v>Defasagem</x:v>
      </x:c>
      <x:c r="D46" s="42" t="n">
        <x:v>0</x:v>
      </x:c>
      <x:c r="E46" s="42" t="n">
        <x:v>22</x:v>
      </x:c>
      <x:c r="F46" s="43" t="n">
        <x:f>D46/E46</x:f>
        <x:v>0</x:v>
      </x:c>
      <x:c r="G46" s="42" t="n">
        <x:f>IF(A46="1º ano",17,16)</x:f>
        <x:v>16</x:v>
      </x:c>
      <x:c r="H46" s="42" t="n">
        <x:f>MAX(0,G46-D46)</x:f>
        <x:v>16</x:v>
      </x:c>
      <x:c r="I46" s="42" t="str">
        <x:v>NÃO</x:v>
      </x:c>
      <x:c r="J46" s="43" t="n">
        <x:v>0.4090909090909091</x:v>
      </x:c>
      <x:c r="K46" s="43" t="n">
        <x:v>0</x:v>
      </x:c>
      <x:c r="L46" s="43" t="n">
        <x:v>0</x:v>
      </x:c>
      <x:c r="M46" s="43" t="n">
        <x:v>0</x:v>
      </x:c>
      <x:c r="N46" s="43" t="n">
        <x:v>0</x:v>
      </x:c>
      <x:c r="O46" s="43" t="n">
        <x:v>0</x:v>
      </x:c>
      <x:c r="P46" s="43" t="n">
        <x:v>0</x:v>
      </x:c>
      <x:c r="Q46" s="43" t="n">
        <x:v>0</x:v>
      </x:c>
      <x:c r="R46" s="43" t="n">
        <x:v>0</x:v>
      </x:c>
      <x:c r="S46" s="43" t="n">
        <x:v>0</x:v>
      </x:c>
      <x:c r="T46" s="43" t="n">
        <x:v>0</x:v>
      </x:c>
      <x:c r="U46" s="43" t="n">
        <x:v>0</x:v>
      </x:c>
      <x:c r="V46" s="42" t="str">
        <x:v>H 07, H 01, H 08, H 02, H 06</x:v>
      </x:c>
    </x:row>
    <x:row r="47">
      <x:c r="A47" s="42" t="str">
        <x:v>2º ano</x:v>
      </x:c>
      <x:c r="B47" s="42" t="str">
        <x:v>MARIA ISABELA MACIEL FONTELE</x:v>
      </x:c>
      <x:c r="C47" s="42" t="str">
        <x:v>Defasagem</x:v>
      </x:c>
      <x:c r="D47" s="42" t="n">
        <x:v>10</x:v>
      </x:c>
      <x:c r="E47" s="42" t="n">
        <x:v>22</x:v>
      </x:c>
      <x:c r="F47" s="43" t="n">
        <x:f>D47/E47</x:f>
        <x:v>0.45454545454545453</x:v>
      </x:c>
      <x:c r="G47" s="42" t="n">
        <x:f>IF(A47="1º ano",17,16)</x:f>
        <x:v>16</x:v>
      </x:c>
      <x:c r="H47" s="42" t="n">
        <x:f>MAX(0,G47-D47)</x:f>
        <x:v>6</x:v>
      </x:c>
      <x:c r="I47" s="42" t="str">
        <x:v>NÃO</x:v>
      </x:c>
      <x:c r="J47" s="43"/>
      <x:c r="K47" s="43" t="n">
        <x:v>0</x:v>
      </x:c>
      <x:c r="L47" s="43" t="n">
        <x:v>0.5</x:v>
      </x:c>
      <x:c r="M47" s="43" t="n">
        <x:v>0</x:v>
      </x:c>
      <x:c r="N47" s="43" t="n">
        <x:v>0</x:v>
      </x:c>
      <x:c r="O47" s="43" t="n">
        <x:v>0.5</x:v>
      </x:c>
      <x:c r="P47" s="43" t="n">
        <x:v>0.5</x:v>
      </x:c>
      <x:c r="Q47" s="43" t="n">
        <x:v>0</x:v>
      </x:c>
      <x:c r="R47" s="43" t="n">
        <x:v>1</x:v>
      </x:c>
      <x:c r="S47" s="43" t="n">
        <x:v>0.5</x:v>
      </x:c>
      <x:c r="T47" s="43" t="n">
        <x:v>1</x:v>
      </x:c>
      <x:c r="U47" s="43" t="n">
        <x:v>1</x:v>
      </x:c>
      <x:c r="V47" s="42" t="str">
        <x:v>H 07, H 01, H 04, H 03, H 02</x:v>
      </x:c>
    </x:row>
    <x:row r="48">
      <x:c r="A48" s="42" t="str">
        <x:v>2º ano</x:v>
      </x:c>
      <x:c r="B48" s="42" t="str">
        <x:v>MARIA SOFIA DA SILVA FERREIRA</x:v>
      </x:c>
      <x:c r="C48" s="42" t="str">
        <x:v>Adequado</x:v>
      </x:c>
      <x:c r="D48" s="42" t="n">
        <x:v>16</x:v>
      </x:c>
      <x:c r="E48" s="42" t="n">
        <x:v>22</x:v>
      </x:c>
      <x:c r="F48" s="43" t="n">
        <x:f>D48/E48</x:f>
        <x:v>0.7272727272727273</x:v>
      </x:c>
      <x:c r="G48" s="42" t="n">
        <x:f>IF(A48="1º ano",17,16)</x:f>
        <x:v>16</x:v>
      </x:c>
      <x:c r="H48" s="42" t="n">
        <x:f>MAX(0,G48-D48)</x:f>
        <x:v>0</x:v>
      </x:c>
      <x:c r="I48" s="42" t="str">
        <x:v>NÃO</x:v>
      </x:c>
      <x:c r="J48" s="43" t="n">
        <x:v>0.7727272727272727</x:v>
      </x:c>
      <x:c r="K48" s="43" t="n">
        <x:v>0</x:v>
      </x:c>
      <x:c r="L48" s="43" t="n">
        <x:v>0</x:v>
      </x:c>
      <x:c r="M48" s="43" t="n">
        <x:v>1</x:v>
      </x:c>
      <x:c r="N48" s="43" t="n">
        <x:v>1</x:v>
      </x:c>
      <x:c r="O48" s="43" t="n">
        <x:v>1</x:v>
      </x:c>
      <x:c r="P48" s="43" t="n">
        <x:v>1</x:v>
      </x:c>
      <x:c r="Q48" s="43" t="n">
        <x:v>0.5</x:v>
      </x:c>
      <x:c r="R48" s="43" t="n">
        <x:v>0.5</x:v>
      </x:c>
      <x:c r="S48" s="43" t="n">
        <x:v>1</x:v>
      </x:c>
      <x:c r="T48" s="43" t="n">
        <x:v>1</x:v>
      </x:c>
      <x:c r="U48" s="43" t="n">
        <x:v>1</x:v>
      </x:c>
      <x:c r="V48" s="42" t="str"/>
    </x:row>
    <x:row r="49">
      <x:c r="A49" s="42" t="str">
        <x:v>2º ano</x:v>
      </x:c>
      <x:c r="B49" s="42" t="str">
        <x:v>MARIA VALENTINA LEITAO DA SILVA</x:v>
      </x:c>
      <x:c r="C49" s="42" t="str">
        <x:v>Adequado</x:v>
      </x:c>
      <x:c r="D49" s="42" t="n">
        <x:v>17</x:v>
      </x:c>
      <x:c r="E49" s="42" t="n">
        <x:v>22</x:v>
      </x:c>
      <x:c r="F49" s="43" t="n">
        <x:f>D49/E49</x:f>
        <x:v>0.7727272727272727</x:v>
      </x:c>
      <x:c r="G49" s="42" t="n">
        <x:f>IF(A49="1º ano",17,16)</x:f>
        <x:v>16</x:v>
      </x:c>
      <x:c r="H49" s="42" t="n">
        <x:f>MAX(0,G49-D49)</x:f>
        <x:v>0</x:v>
      </x:c>
      <x:c r="I49" s="42" t="str">
        <x:v>NÃO</x:v>
      </x:c>
      <x:c r="J49" s="43" t="n">
        <x:v>0.8181818181818182</x:v>
      </x:c>
      <x:c r="K49" s="43" t="n">
        <x:v>0</x:v>
      </x:c>
      <x:c r="L49" s="43" t="n">
        <x:v>1</x:v>
      </x:c>
      <x:c r="M49" s="43" t="n">
        <x:v>1</x:v>
      </x:c>
      <x:c r="N49" s="43" t="n">
        <x:v>1</x:v>
      </x:c>
      <x:c r="O49" s="43" t="n">
        <x:v>0.5</x:v>
      </x:c>
      <x:c r="P49" s="43" t="n">
        <x:v>1</x:v>
      </x:c>
      <x:c r="Q49" s="43" t="n">
        <x:v>0.5</x:v>
      </x:c>
      <x:c r="R49" s="43" t="n">
        <x:v>0.5</x:v>
      </x:c>
      <x:c r="S49" s="43" t="n">
        <x:v>1</x:v>
      </x:c>
      <x:c r="T49" s="43" t="n">
        <x:v>1</x:v>
      </x:c>
      <x:c r="U49" s="43" t="n">
        <x:v>1</x:v>
      </x:c>
      <x:c r="V49" s="42" t="str"/>
    </x:row>
    <x:row r="50">
      <x:c r="A50" s="42" t="str">
        <x:v>2º ano</x:v>
      </x:c>
      <x:c r="B50" s="42" t="str">
        <x:v>MELISSA MARIA CAVALCANTE</x:v>
      </x:c>
      <x:c r="C50" s="42" t="str">
        <x:v>Adequado</x:v>
      </x:c>
      <x:c r="D50" s="42" t="n">
        <x:v>20</x:v>
      </x:c>
      <x:c r="E50" s="42" t="n">
        <x:v>22</x:v>
      </x:c>
      <x:c r="F50" s="43" t="n">
        <x:f>D50/E50</x:f>
        <x:v>0.9090909090909091</x:v>
      </x:c>
      <x:c r="G50" s="42" t="n">
        <x:f>IF(A50="1º ano",17,16)</x:f>
        <x:v>16</x:v>
      </x:c>
      <x:c r="H50" s="42" t="n">
        <x:f>MAX(0,G50-D50)</x:f>
        <x:v>0</x:v>
      </x:c>
      <x:c r="I50" s="42" t="str">
        <x:v>NÃO</x:v>
      </x:c>
      <x:c r="J50" s="43" t="n">
        <x:v>0.9090909090909091</x:v>
      </x:c>
      <x:c r="K50" s="43" t="n">
        <x:v>0</x:v>
      </x:c>
      <x:c r="L50" s="43" t="n">
        <x:v>1</x:v>
      </x:c>
      <x:c r="M50" s="43" t="n">
        <x:v>1</x:v>
      </x:c>
      <x:c r="N50" s="43" t="n">
        <x:v>1</x:v>
      </x:c>
      <x:c r="O50" s="43" t="n">
        <x:v>1</x:v>
      </x:c>
      <x:c r="P50" s="43" t="n">
        <x:v>1</x:v>
      </x:c>
      <x:c r="Q50" s="43" t="n">
        <x:v>1</x:v>
      </x:c>
      <x:c r="R50" s="43" t="n">
        <x:v>1</x:v>
      </x:c>
      <x:c r="S50" s="43" t="n">
        <x:v>1</x:v>
      </x:c>
      <x:c r="T50" s="43" t="n">
        <x:v>1</x:v>
      </x:c>
      <x:c r="U50" s="43" t="n">
        <x:v>1</x:v>
      </x:c>
      <x:c r="V50" s="42" t="str"/>
    </x:row>
    <x:row r="51">
      <x:c r="A51" s="42" t="str">
        <x:v>2º ano</x:v>
      </x:c>
      <x:c r="B51" s="42" t="str">
        <x:v>MIGUEL ALBERTO UCHOA FERREIRA</x:v>
      </x:c>
      <x:c r="C51" s="42" t="str">
        <x:v>Defasagem</x:v>
      </x:c>
      <x:c r="D51" s="42" t="n">
        <x:v>0</x:v>
      </x:c>
      <x:c r="E51" s="42" t="n">
        <x:v>22</x:v>
      </x:c>
      <x:c r="F51" s="43" t="n">
        <x:f>D51/E51</x:f>
        <x:v>0</x:v>
      </x:c>
      <x:c r="G51" s="42" t="n">
        <x:f>IF(A51="1º ano",17,16)</x:f>
        <x:v>16</x:v>
      </x:c>
      <x:c r="H51" s="42" t="n">
        <x:f>MAX(0,G51-D51)</x:f>
        <x:v>16</x:v>
      </x:c>
      <x:c r="I51" s="42" t="str">
        <x:v>NÃO</x:v>
      </x:c>
      <x:c r="J51" s="43" t="n">
        <x:v>0.3181818181818182</x:v>
      </x:c>
      <x:c r="K51" s="43" t="n">
        <x:v>0</x:v>
      </x:c>
      <x:c r="L51" s="43" t="n">
        <x:v>0</x:v>
      </x:c>
      <x:c r="M51" s="43" t="n">
        <x:v>0</x:v>
      </x:c>
      <x:c r="N51" s="43" t="n">
        <x:v>0</x:v>
      </x:c>
      <x:c r="O51" s="43" t="n">
        <x:v>0</x:v>
      </x:c>
      <x:c r="P51" s="43" t="n">
        <x:v>0</x:v>
      </x:c>
      <x:c r="Q51" s="43" t="n">
        <x:v>0</x:v>
      </x:c>
      <x:c r="R51" s="43" t="n">
        <x:v>0</x:v>
      </x:c>
      <x:c r="S51" s="43" t="n">
        <x:v>0</x:v>
      </x:c>
      <x:c r="T51" s="43" t="n">
        <x:v>0</x:v>
      </x:c>
      <x:c r="U51" s="43" t="n">
        <x:v>0</x:v>
      </x:c>
      <x:c r="V51" s="42" t="str">
        <x:v>H 07, H 01, H 08, H 02, H 06</x:v>
      </x:c>
    </x:row>
    <x:row r="52">
      <x:c r="A52" s="42" t="str">
        <x:v>2º ano</x:v>
      </x:c>
      <x:c r="B52" s="42" t="str">
        <x:v>NICOLAS MORAES DA SILV</x:v>
      </x:c>
      <x:c r="C52" s="42" t="str">
        <x:v>Adequado</x:v>
      </x:c>
      <x:c r="D52" s="42" t="n">
        <x:v>19</x:v>
      </x:c>
      <x:c r="E52" s="42" t="n">
        <x:v>22</x:v>
      </x:c>
      <x:c r="F52" s="43" t="n">
        <x:f>D52/E52</x:f>
        <x:v>0.8636363636363636</x:v>
      </x:c>
      <x:c r="G52" s="42" t="n">
        <x:f>IF(A52="1º ano",17,16)</x:f>
        <x:v>16</x:v>
      </x:c>
      <x:c r="H52" s="42" t="n">
        <x:f>MAX(0,G52-D52)</x:f>
        <x:v>0</x:v>
      </x:c>
      <x:c r="I52" s="42" t="str">
        <x:v>NÃO</x:v>
      </x:c>
      <x:c r="J52" s="43" t="n">
        <x:v>1</x:v>
      </x:c>
      <x:c r="K52" s="43" t="n">
        <x:v>0.5</x:v>
      </x:c>
      <x:c r="L52" s="43" t="n">
        <x:v>1</x:v>
      </x:c>
      <x:c r="M52" s="43" t="n">
        <x:v>1</x:v>
      </x:c>
      <x:c r="N52" s="43" t="n">
        <x:v>1</x:v>
      </x:c>
      <x:c r="O52" s="43" t="n">
        <x:v>1</x:v>
      </x:c>
      <x:c r="P52" s="43" t="n">
        <x:v>1</x:v>
      </x:c>
      <x:c r="Q52" s="43" t="n">
        <x:v>0.5</x:v>
      </x:c>
      <x:c r="R52" s="43" t="n">
        <x:v>0.5</x:v>
      </x:c>
      <x:c r="S52" s="43" t="n">
        <x:v>1</x:v>
      </x:c>
      <x:c r="T52" s="43" t="n">
        <x:v>1</x:v>
      </x:c>
      <x:c r="U52" s="43" t="n">
        <x:v>1</x:v>
      </x:c>
      <x:c r="V52" s="42" t="str"/>
    </x:row>
    <x:row r="53">
      <x:c r="A53" s="42" t="str">
        <x:v>2º ano</x:v>
      </x:c>
      <x:c r="B53" s="42" t="str">
        <x:v>PEDRO HENRIQUE LEITE DE SOUSA</x:v>
      </x:c>
      <x:c r="C53" s="42" t="str">
        <x:v>Intermediário</x:v>
      </x:c>
      <x:c r="D53" s="42" t="n">
        <x:v>15</x:v>
      </x:c>
      <x:c r="E53" s="42" t="n">
        <x:v>22</x:v>
      </x:c>
      <x:c r="F53" s="43" t="n">
        <x:f>D53/E53</x:f>
        <x:v>0.6818181818181818</x:v>
      </x:c>
      <x:c r="G53" s="42" t="n">
        <x:f>IF(A53="1º ano",17,16)</x:f>
        <x:v>16</x:v>
      </x:c>
      <x:c r="H53" s="42" t="n">
        <x:f>MAX(0,G53-D53)</x:f>
        <x:v>1</x:v>
      </x:c>
      <x:c r="I53" s="42" t="str">
        <x:v>SIM</x:v>
      </x:c>
      <x:c r="J53" s="43" t="n">
        <x:v>0.9545454545454546</x:v>
      </x:c>
      <x:c r="K53" s="43" t="n">
        <x:v>0</x:v>
      </x:c>
      <x:c r="L53" s="43" t="n">
        <x:v>1</x:v>
      </x:c>
      <x:c r="M53" s="43" t="n">
        <x:v>1</x:v>
      </x:c>
      <x:c r="N53" s="43" t="n">
        <x:v>1</x:v>
      </x:c>
      <x:c r="O53" s="43" t="n">
        <x:v>1</x:v>
      </x:c>
      <x:c r="P53" s="43" t="n">
        <x:v>1</x:v>
      </x:c>
      <x:c r="Q53" s="43" t="n">
        <x:v>0</x:v>
      </x:c>
      <x:c r="R53" s="43" t="n">
        <x:v>0</x:v>
      </x:c>
      <x:c r="S53" s="43" t="n">
        <x:v>1</x:v>
      </x:c>
      <x:c r="T53" s="43" t="n">
        <x:v>1</x:v>
      </x:c>
      <x:c r="U53" s="43" t="n">
        <x:v>0.5</x:v>
      </x:c>
      <x:c r="V53" s="42" t="str">
        <x:v>H 07, H 01, H 08, H 11, H 02</x:v>
      </x:c>
    </x:row>
    <x:row r="54">
      <x:c r="A54" s="42" t="str">
        <x:v>2º ano</x:v>
      </x:c>
      <x:c r="B54" s="42" t="str">
        <x:v>PEDRO LUAN COSTA VAL</x:v>
      </x:c>
      <x:c r="C54" s="42" t="str">
        <x:v>Adequado</x:v>
      </x:c>
      <x:c r="D54" s="42" t="n">
        <x:v>19</x:v>
      </x:c>
      <x:c r="E54" s="42" t="n">
        <x:v>22</x:v>
      </x:c>
      <x:c r="F54" s="43" t="n">
        <x:f>D54/E54</x:f>
        <x:v>0.8636363636363636</x:v>
      </x:c>
      <x:c r="G54" s="42" t="n">
        <x:f>IF(A54="1º ano",17,16)</x:f>
        <x:v>16</x:v>
      </x:c>
      <x:c r="H54" s="42" t="n">
        <x:f>MAX(0,G54-D54)</x:f>
        <x:v>0</x:v>
      </x:c>
      <x:c r="I54" s="42" t="str">
        <x:v>NÃO</x:v>
      </x:c>
      <x:c r="J54" s="43" t="n">
        <x:v>0.8636363636363636</x:v>
      </x:c>
      <x:c r="K54" s="43" t="n">
        <x:v>1</x:v>
      </x:c>
      <x:c r="L54" s="43" t="n">
        <x:v>1</x:v>
      </x:c>
      <x:c r="M54" s="43" t="n">
        <x:v>1</x:v>
      </x:c>
      <x:c r="N54" s="43" t="n">
        <x:v>1</x:v>
      </x:c>
      <x:c r="O54" s="43" t="n">
        <x:v>1</x:v>
      </x:c>
      <x:c r="P54" s="43" t="n">
        <x:v>1</x:v>
      </x:c>
      <x:c r="Q54" s="43" t="n">
        <x:v>0</x:v>
      </x:c>
      <x:c r="R54" s="43" t="n">
        <x:v>0.5</x:v>
      </x:c>
      <x:c r="S54" s="43" t="n">
        <x:v>1</x:v>
      </x:c>
      <x:c r="T54" s="43" t="n">
        <x:v>1</x:v>
      </x:c>
      <x:c r="U54" s="43" t="n">
        <x:v>1</x:v>
      </x:c>
      <x:c r="V54" s="42" t="str"/>
    </x:row>
    <x:row r="55">
      <x:c r="A55" s="42" t="str">
        <x:v>2º ano</x:v>
      </x:c>
      <x:c r="B55" s="42" t="str">
        <x:v>SARA MELINDA TAVARES DE CASTRO</x:v>
      </x:c>
      <x:c r="C55" s="42" t="str">
        <x:v>Adequado</x:v>
      </x:c>
      <x:c r="D55" s="42" t="n">
        <x:v>18</x:v>
      </x:c>
      <x:c r="E55" s="42" t="n">
        <x:v>22</x:v>
      </x:c>
      <x:c r="F55" s="43" t="n">
        <x:f>D55/E55</x:f>
        <x:v>0.8181818181818182</x:v>
      </x:c>
      <x:c r="G55" s="42" t="n">
        <x:f>IF(A55="1º ano",17,16)</x:f>
        <x:v>16</x:v>
      </x:c>
      <x:c r="H55" s="42" t="n">
        <x:f>MAX(0,G55-D55)</x:f>
        <x:v>0</x:v>
      </x:c>
      <x:c r="I55" s="42" t="str">
        <x:v>NÃO</x:v>
      </x:c>
      <x:c r="J55" s="43" t="n">
        <x:v>0.9090909090909091</x:v>
      </x:c>
      <x:c r="K55" s="43" t="n">
        <x:v>0</x:v>
      </x:c>
      <x:c r="L55" s="43" t="n">
        <x:v>0.5</x:v>
      </x:c>
      <x:c r="M55" s="43" t="n">
        <x:v>1</x:v>
      </x:c>
      <x:c r="N55" s="43" t="n">
        <x:v>0.5</x:v>
      </x:c>
      <x:c r="O55" s="43" t="n">
        <x:v>1</x:v>
      </x:c>
      <x:c r="P55" s="43" t="n">
        <x:v>1</x:v>
      </x:c>
      <x:c r="Q55" s="43" t="n">
        <x:v>1</x:v>
      </x:c>
      <x:c r="R55" s="43" t="n">
        <x:v>1</x:v>
      </x:c>
      <x:c r="S55" s="43" t="n">
        <x:v>1</x:v>
      </x:c>
      <x:c r="T55" s="43" t="n">
        <x:v>1</x:v>
      </x:c>
      <x:c r="U55" s="43" t="n">
        <x:v>1</x:v>
      </x:c>
      <x:c r="V55" s="42" t="str"/>
    </x:row>
    <x:row r="56">
      <x:c r="A56" s="42" t="str">
        <x:v>2º ano</x:v>
      </x:c>
      <x:c r="B56" s="42" t="str">
        <x:v>THEO MANOEL RODRIGUES RIBEIRO</x:v>
      </x:c>
      <x:c r="C56" s="42" t="str">
        <x:v>Defasagem</x:v>
      </x:c>
      <x:c r="D56" s="42" t="n">
        <x:v>0</x:v>
      </x:c>
      <x:c r="E56" s="42" t="n">
        <x:v>22</x:v>
      </x:c>
      <x:c r="F56" s="43" t="n">
        <x:f>D56/E56</x:f>
        <x:v>0</x:v>
      </x:c>
      <x:c r="G56" s="42" t="n">
        <x:f>IF(A56="1º ano",17,16)</x:f>
        <x:v>16</x:v>
      </x:c>
      <x:c r="H56" s="42" t="n">
        <x:f>MAX(0,G56-D56)</x:f>
        <x:v>16</x:v>
      </x:c>
      <x:c r="I56" s="42" t="str">
        <x:v>NÃO</x:v>
      </x:c>
      <x:c r="J56" s="43"/>
      <x:c r="K56" s="43" t="n">
        <x:v>0</x:v>
      </x:c>
      <x:c r="L56" s="43" t="n">
        <x:v>0</x:v>
      </x:c>
      <x:c r="M56" s="43" t="n">
        <x:v>0</x:v>
      </x:c>
      <x:c r="N56" s="43" t="n">
        <x:v>0</x:v>
      </x:c>
      <x:c r="O56" s="43" t="n">
        <x:v>0</x:v>
      </x:c>
      <x:c r="P56" s="43" t="n">
        <x:v>0</x:v>
      </x:c>
      <x:c r="Q56" s="43" t="n">
        <x:v>0</x:v>
      </x:c>
      <x:c r="R56" s="43" t="n">
        <x:v>0</x:v>
      </x:c>
      <x:c r="S56" s="43" t="n">
        <x:v>0</x:v>
      </x:c>
      <x:c r="T56" s="43" t="n">
        <x:v>0</x:v>
      </x:c>
      <x:c r="U56" s="43" t="n">
        <x:v>0</x:v>
      </x:c>
      <x:c r="V56" s="42" t="str">
        <x:v>H 07, H 01, H 08, H 02, H 06</x:v>
      </x:c>
    </x:row>
  </x:sheetData>
  <x:mergeCells>
    <x:mergeCell ref="A1:V1"/>
    <x:mergeCell ref="A2:V2"/>
  </x:mergeCells>
  <x:conditionalFormatting sqref="F5:F56">
    <x:cfRule type="colorScale" priority="1">
      <x:colorScale>
        <x:cfvo type="min"/>
        <x:cfvo type="percentile" val="50"/>
        <x:cfvo type="max"/>
        <x:color rgb="FFF6E3E1"/>
        <x:color rgb="FFFFF2CC"/>
        <x:color rgb="FFEAF2E4"/>
      </x:colorScale>
    </x:cfRule>
  </x:conditionalFormatting>
  <x:conditionalFormatting sqref="H5:H56">
    <x:cfRule type="dataBar" priority="2">
      <x:dataBar>
        <x:cfvo type="min"/>
        <x:cfvo type="max"/>
        <x:color rgb="FFD66A2C"/>
      </x:dataBar>
      <x:extLst>
        <x:ext xmlns:x14="http://schemas.microsoft.com/office/spreadsheetml/2009/9/main" uri="{B025F937-C7B1-47D3-B67F-A62EFF666E3E}">
          <x14:id>{123AADB1-0763-CD12-F158-DBA2753EB190}</x14:id>
        </x:ext>
      </x:extLst>
    </x:cfRule>
  </x:conditionalFormatting>
  <x:conditionalFormatting sqref="I5:I56">
    <x:cfRule type="expression" dxfId="0" priority="3">
      <x:formula>I5="SIM"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20fa8b1eb9425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123AADB1-0763-CD12-F158-DBA2753EB190}">
            <x14:dataBar gradient="1">
              <x14:cfvo type="min"/>
              <x14:cfvo type="max"/>
              <x14:fillColor rgb="FFD66A2C"/>
            </x14:dataBar>
          </x14:cfRule>
          <xm:sqref>H5:H56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12" hidden="0" customWidth="1"/>
    <x:col min="4" max="4" width="8" hidden="0" customWidth="1"/>
    <x:col min="5" max="5" width="12" hidden="0" customWidth="1"/>
    <x:col min="6" max="6" width="14" hidden="0" customWidth="1"/>
    <x:col min="7" max="7" width="12" hidden="0" customWidth="1"/>
    <x:col min="8" max="8" width="14" hidden="0" customWidth="1"/>
    <x:col min="9" max="9" width="12" hidden="0" customWidth="1"/>
    <x:col min="10" max="10" width="15" hidden="0" customWidth="1"/>
  </x:cols>
  <x:sheetData>
    <x:row r="1">
      <x:c r="A1" s="60" t="str">
        <x:v>DADOS TÉCNICOS E RASTREABILIDADE</x:v>
      </x:c>
      <x:c r="B1" s="60"/>
      <x:c r="C1" s="60"/>
      <x:c r="D1" s="60"/>
      <x:c r="E1" s="60"/>
      <x:c r="F1" s="60"/>
      <x:c r="G1" s="60"/>
      <x:c r="H1" s="60"/>
      <x:c r="I1" s="60"/>
      <x:c r="J1" s="60"/>
    </x:row>
    <x:row r="2">
      <x:c r="A2" s="61" t="str">
        <x:v>Os arquivos CAEd não trazem o nome do instrumento. A exportação mais recente foi tratada operacionalmente como contraprova.</x:v>
      </x:c>
      <x:c r="B2" s="61"/>
      <x:c r="C2" s="61"/>
      <x:c r="D2" s="61"/>
      <x:c r="E2" s="61"/>
      <x:c r="F2" s="61"/>
      <x:c r="G2" s="61"/>
      <x:c r="H2" s="61"/>
      <x:c r="I2" s="61"/>
      <x:c r="J2" s="61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</x:row>
    <x:row r="4">
      <x:c r="A4" s="28" t="str">
        <x:v>Rótulo</x:v>
      </x:c>
      <x:c r="B4" s="28" t="str">
        <x:v>Arquivo</x:v>
      </x:c>
      <x:c r="C4" s="28" t="str">
        <x:v>Turma</x:v>
      </x:c>
      <x:c r="D4" s="28" t="str">
        <x:v>N</x:v>
      </x:c>
      <x:c r="E4" s="28" t="str">
        <x:v>Defasagem</x:v>
      </x:c>
      <x:c r="F4" s="28" t="str">
        <x:v>Intermediário</x:v>
      </x:c>
      <x:c r="G4" s="28" t="str">
        <x:v>Adequado</x:v>
      </x:c>
      <x:c r="H4" s="28" t="str">
        <x:v>% Adequado</x:v>
      </x:c>
      <x:c r="I4" s="28" t="str">
        <x:v>Corte</x:v>
      </x:c>
      <x:c r="J4" s="28" t="str">
        <x:v>α exploratório</x:v>
      </x:c>
    </x:row>
    <x:row r="5">
      <x:c r="A5" s="42" t="str">
        <x:v>1º ano - referência</x:v>
      </x:c>
      <x:c r="B5" s="42" t="str">
        <x:v>HABILIDADES_DESEMPENHO_ESTUDANTE 30-07-2026 9-16-45.csv</x:v>
      </x:c>
      <x:c r="C5" s="42" t="str">
        <x:v>1º ano</x:v>
      </x:c>
      <x:c r="D5" s="42" t="n">
        <x:v>24</x:v>
      </x:c>
      <x:c r="E5" s="42" t="n">
        <x:v>2</x:v>
      </x:c>
      <x:c r="F5" s="42" t="n">
        <x:v>8</x:v>
      </x:c>
      <x:c r="G5" s="42" t="n">
        <x:v>14</x:v>
      </x:c>
      <x:c r="H5" s="43" t="n">
        <x:v>0.5833333333333334</x:v>
      </x:c>
      <x:c r="I5" s="42" t="str">
        <x:v>16/22</x:v>
      </x:c>
      <x:c r="J5" s="45" t="n">
        <x:v>0.7076479076479076</x:v>
      </x:c>
    </x:row>
    <x:row r="6">
      <x:c r="A6" s="42" t="str">
        <x:v>1º ano - contraprova</x:v>
      </x:c>
      <x:c r="B6" s="42" t="str">
        <x:v>HABILIDADES_DESEMPENHO_ESTUDANTE 30-07-2026 9-19-42.csv</x:v>
      </x:c>
      <x:c r="C6" s="42" t="str">
        <x:v>1º ano</x:v>
      </x:c>
      <x:c r="D6" s="42" t="n">
        <x:v>24</x:v>
      </x:c>
      <x:c r="E6" s="42" t="n">
        <x:v>0</x:v>
      </x:c>
      <x:c r="F6" s="42" t="n">
        <x:v>14</x:v>
      </x:c>
      <x:c r="G6" s="42" t="n">
        <x:v>10</x:v>
      </x:c>
      <x:c r="H6" s="43" t="n">
        <x:v>0.4166666666666667</x:v>
      </x:c>
      <x:c r="I6" s="42" t="str">
        <x:v>17/22</x:v>
      </x:c>
      <x:c r="J6" s="45" t="n">
        <x:v>0.6589662665562914</x:v>
      </x:c>
    </x:row>
    <x:row r="7">
      <x:c r="A7" s="42" t="str">
        <x:v>2º ano - referência</x:v>
      </x:c>
      <x:c r="B7" s="42" t="str">
        <x:v>HABILIDADES_DESEMPENHO_ESTUDANTE 30-07-2026 9-18-48.csv</x:v>
      </x:c>
      <x:c r="C7" s="42" t="str">
        <x:v>2º ano</x:v>
      </x:c>
      <x:c r="D7" s="42" t="n">
        <x:v>26</x:v>
      </x:c>
      <x:c r="E7" s="42" t="n">
        <x:v>5</x:v>
      </x:c>
      <x:c r="F7" s="42" t="n">
        <x:v>5</x:v>
      </x:c>
      <x:c r="G7" s="42" t="n">
        <x:v>16</x:v>
      </x:c>
      <x:c r="H7" s="43" t="n">
        <x:v>0.6153846153846154</x:v>
      </x:c>
      <x:c r="I7" s="42" t="str">
        <x:v>16/22</x:v>
      </x:c>
      <x:c r="J7" s="45" t="n">
        <x:v>0.8359517304189436</x:v>
      </x:c>
    </x:row>
    <x:row r="8">
      <x:c r="A8" s="42" t="str">
        <x:v>2º ano - contraprova</x:v>
      </x:c>
      <x:c r="B8" s="42" t="str">
        <x:v>HABILIDADES_DESEMPENHO_ESTUDANTE 30-07-2026 9-19-16.csv</x:v>
      </x:c>
      <x:c r="C8" s="42" t="str">
        <x:v>2º ano</x:v>
      </x:c>
      <x:c r="D8" s="42" t="n">
        <x:v>28</x:v>
      </x:c>
      <x:c r="E8" s="42" t="n">
        <x:v>7</x:v>
      </x:c>
      <x:c r="F8" s="42" t="n">
        <x:v>3</x:v>
      </x:c>
      <x:c r="G8" s="42" t="n">
        <x:v>18</x:v>
      </x:c>
      <x:c r="H8" s="43" t="n">
        <x:v>0.6428571428571429</x:v>
      </x:c>
      <x:c r="I8" s="42" t="str">
        <x:v>16/22</x:v>
      </x:c>
      <x:c r="J8" s="45" t="n">
        <x:v>0.9396884771618108</x:v>
      </x:c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</x:row>
    <x:row r="11">
      <x:c r="A11" s="28" t="str">
        <x:v>Turma</x:v>
      </x:c>
      <x:c r="B11" s="28" t="str">
        <x:v>Pareados</x:v>
      </x:c>
      <x:c r="C11" s="28" t="str">
        <x:v>Pearson r</x:v>
      </x:c>
      <x:c r="D11" s="28" t="str">
        <x:v>p Pearson</x:v>
      </x:c>
      <x:c r="E11" s="28" t="str">
        <x:v>Spearman ρ</x:v>
      </x:c>
      <x:c r="F11" s="28" t="str">
        <x:v>p Spearman</x:v>
      </x:c>
      <x:c r="G11" s="28" t="str">
        <x:v>McNemar p</x:v>
      </x:c>
      <x:c r="H11" s="28" t="str">
        <x:v>Interpretação</x:v>
      </x:c>
      <x:c r="I11" s="42"/>
      <x:c r="J11" s="42"/>
    </x:row>
    <x:row r="12">
      <x:c r="A12" s="42" t="str">
        <x:v>1º ano</x:v>
      </x:c>
      <x:c r="B12" s="42" t="n">
        <x:v>24</x:v>
      </x:c>
      <x:c r="C12" s="68" t="n">
        <x:v>0.10744698688490707</x:v>
      </x:c>
      <x:c r="D12" s="68" t="n">
        <x:v>0.6172643067043736</x:v>
      </x:c>
      <x:c r="E12" s="68" t="n">
        <x:v>0.1274536658942948</x:v>
      </x:c>
      <x:c r="F12" s="68" t="n">
        <x:v>0.5528537734870902</x:v>
      </x:c>
      <x:c r="G12" s="68" t="n">
        <x:v>0.3876953125</x:v>
      </x:c>
      <x:c r="H12" s="42" t="str">
        <x:v>Baixa estabilidade entre instrumentos</x:v>
      </x:c>
      <x:c r="I12" s="42"/>
      <x:c r="J12" s="42"/>
    </x:row>
    <x:row r="13">
      <x:c r="A13" s="42" t="str">
        <x:v>2º ano</x:v>
      </x:c>
      <x:c r="B13" s="42" t="n">
        <x:v>25</x:v>
      </x:c>
      <x:c r="C13" s="68" t="n">
        <x:v>0.5864046712365542</x:v>
      </x:c>
      <x:c r="D13" s="68" t="n">
        <x:v>0.0020646594209475294</x:v>
      </x:c>
      <x:c r="E13" s="68" t="n">
        <x:v>0.29853959173328665</x:v>
      </x:c>
      <x:c r="F13" s="68" t="n">
        <x:v>0.14717697266805618</x:v>
      </x:c>
      <x:c r="G13" s="68" t="n">
        <x:v>0.7265625</x:v>
      </x:c>
      <x:c r="H13" s="42" t="str">
        <x:v>Estabilidade moderada</x:v>
      </x:c>
      <x:c r="I13" s="42"/>
      <x:c r="J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</x:row>
    <x:row r="16">
      <x:c r="A16" s="28" t="str">
        <x:v>Turma</x:v>
      </x:c>
      <x:c r="B16" s="28" t="str">
        <x:v>Registros zerados</x:v>
      </x:c>
      <x:c r="C16" s="28" t="str">
        <x:v>Quantidade</x:v>
      </x:c>
      <x:c r="D16" s="28" t="str">
        <x:v>Providência</x:v>
      </x:c>
      <x:c r="E16" s="42"/>
      <x:c r="F16" s="42"/>
      <x:c r="G16" s="42"/>
      <x:c r="H16" s="42"/>
      <x:c r="I16" s="42"/>
      <x:c r="J16" s="42"/>
    </x:row>
    <x:row r="17">
      <x:c r="A17" s="42" t="str">
        <x:v>1º ano</x:v>
      </x:c>
      <x:c r="B17" s="42" t="str">
        <x:v>Nenhum</x:v>
      </x:c>
      <x:c r="C17" s="42" t="n">
        <x:v>0</x:v>
      </x:c>
      <x:c r="D17" s="42" t="str">
        <x:v>Sem alerta específico</x:v>
      </x:c>
      <x:c r="E17" s="42"/>
      <x:c r="F17" s="42"/>
      <x:c r="G17" s="42"/>
      <x:c r="H17" s="42"/>
      <x:c r="I17" s="42"/>
      <x:c r="J17" s="42"/>
    </x:row>
    <x:row r="18">
      <x:c r="A18" s="42" t="str">
        <x:v>2º ano</x:v>
      </x:c>
      <x:c r="B18" s="42" t="str">
        <x:v>MARCELO DAVI UCHOA FERREIRA, MIGUEL ALBERTO UCHOA FERREIRA, THEO MANOEL RODRIGUES RIBEIRO</x:v>
      </x:c>
      <x:c r="C18" s="42" t="n">
        <x:v>3</x:v>
      </x:c>
      <x:c r="D18" s="42" t="str">
        <x:v>Verificar ausência, prova em branco ou lançamento</x:v>
      </x:c>
      <x:c r="E18" s="42"/>
      <x:c r="F18" s="42"/>
      <x:c r="G18" s="42"/>
      <x:c r="H18" s="42"/>
      <x:c r="I18" s="42"/>
      <x:c r="J18" s="42"/>
    </x:row>
  </x:sheetData>
  <x:mergeCells>
    <x:mergeCell ref="A1:J1"/>
    <x:mergeCell ref="A2:J2"/>
  </x:mergeCells>
  <x:pageMargins left="0.7" right="0.7" top="0.75" bottom="0.75" header="0.3" footer="0.3"/>
</x:worksheet>
</file>