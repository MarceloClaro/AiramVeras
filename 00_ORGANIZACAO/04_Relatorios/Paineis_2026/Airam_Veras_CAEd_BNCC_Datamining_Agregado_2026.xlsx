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d1857d79c54a49" /></Relationships>
</file>

<file path=xl/workbook.xml><?xml version="1.0" encoding="utf-8"?>
<x:workbook xmlns:x="http://schemas.openxmlformats.org/spreadsheetml/2006/main">
  <x:sheets>
    <x:sheet xmlns:r="http://schemas.openxmlformats.org/officeDocument/2006/relationships" name="Meta_A" sheetId="1" r:id="R87a8b5b5e9b14c2f"/>
    <x:sheet xmlns:r="http://schemas.openxmlformats.org/officeDocument/2006/relationships" name="Habilidades" sheetId="2" r:id="Re5b48bfd973242bb"/>
    <x:sheet xmlns:r="http://schemas.openxmlformats.org/officeDocument/2006/relationships" name="Correlacoes" sheetId="3" r:id="R09b8c35b2cac439e"/>
    <x:sheet xmlns:r="http://schemas.openxmlformats.org/officeDocument/2006/relationships" name="Perfis" sheetId="4" r:id="Raa5d765563e6412c"/>
    <x:sheet xmlns:r="http://schemas.openxmlformats.org/officeDocument/2006/relationships" name="Cenarios" sheetId="5" r:id="R96a26b058c5c4143"/>
    <x:sheet xmlns:r="http://schemas.openxmlformats.org/officeDocument/2006/relationships" name="Grafo_BNCC" sheetId="6" r:id="R6925c50c8c1d43a2"/>
    <x:sheet xmlns:r="http://schemas.openxmlformats.org/officeDocument/2006/relationships" name="Protocolo" sheetId="7" r:id="R8e309442e5344d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17243B"/>
      <x:name val="Carlito"/>
    </x:font>
  </x:fonts>
  <x:fills count="3">
    <x:fill>
      <x:patternFill patternType="none"/>
    </x:fill>
    <x:fill>
      <x:patternFill patternType="gray125"/>
    </x:fill>
    <x:fill>
      <x:patternFill patternType="solid">
        <x:fgColor rgb="FFE8EBF0"/>
      </x:patternFill>
    </x:fill>
  </x:fills>
  <x:borders count="2">
    <x:border/>
    <x:border/>
  </x:borders>
  <x:cellStyleXfs count="1">
    <x:xf numFmtId="0" fontId="0" fillId="0" borderId="0"/>
  </x:cellStyleXfs>
  <x:cellXfs count="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20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7e7e6338a346af" /><Relationship Type="http://schemas.openxmlformats.org/officeDocument/2006/relationships/theme" Target="/xl/theme/theme1.xml" Id="Rb8fda5af5ae8421c" /><Relationship Type="http://schemas.openxmlformats.org/officeDocument/2006/relationships/sharedStrings" Target="/xl/sharedStrings.xml" Id="Rcf69ccebff9b4213" /><Relationship Type="http://schemas.openxmlformats.org/officeDocument/2006/relationships/worksheet" Target="/xl/worksheets/sheet1.xml" Id="R87a8b5b5e9b14c2f" /><Relationship Type="http://schemas.openxmlformats.org/officeDocument/2006/relationships/worksheet" Target="/xl/worksheets/sheet2.xml" Id="Re5b48bfd973242bb" /><Relationship Type="http://schemas.openxmlformats.org/officeDocument/2006/relationships/worksheet" Target="/xl/worksheets/sheet3.xml" Id="R09b8c35b2cac439e" /><Relationship Type="http://schemas.openxmlformats.org/officeDocument/2006/relationships/worksheet" Target="/xl/worksheets/sheet4.xml" Id="Raa5d765563e6412c" /><Relationship Type="http://schemas.openxmlformats.org/officeDocument/2006/relationships/worksheet" Target="/xl/worksheets/sheet5.xml" Id="R96a26b058c5c4143" /><Relationship Type="http://schemas.openxmlformats.org/officeDocument/2006/relationships/worksheet" Target="/xl/worksheets/sheet6.xml" Id="R6925c50c8c1d43a2" /><Relationship Type="http://schemas.openxmlformats.org/officeDocument/2006/relationships/worksheet" Target="/xl/worksheets/sheet7.xml" Id="R8e309442e5344d1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0" hidden="0" customWidth="1"/>
    <x:col min="3" max="3" width="16" hidden="0" customWidth="1"/>
    <x:col min="4" max="4" width="16" hidden="0" customWidth="1"/>
    <x:col min="5" max="5" width="16" hidden="0" customWidth="1"/>
    <x:col min="6" max="6" width="16" hidden="0" customWidth="1"/>
    <x:col min="7" max="7" width="16" hidden="0" customWidth="1"/>
    <x:col min="8" max="8" width="24" hidden="0" customWidth="1"/>
    <x:col min="9" max="9" width="48" hidden="0" customWidth="1"/>
    <x:col min="10" max="10" width="36" hidden="0" customWidth="1"/>
  </x:cols>
  <x:sheetData>
    <x:row r="1" ht="22" customHeight="1">
      <x:c r="A1" s="4" t="str">
        <x:v>Ano</x:v>
      </x:c>
      <x:c r="B1" s="4" t="str">
        <x:v>Componente</x:v>
      </x:c>
      <x:c r="C1" s="4" t="str">
        <x:v>Avaliados</x:v>
      </x:c>
      <x:c r="D1" s="4" t="str">
        <x:v>Adequados</x:v>
      </x:c>
      <x:c r="E1" s="4" t="str">
        <x:v>Alvo 80%</x:v>
      </x:c>
      <x:c r="F1" s="4" t="str">
        <x:v>Conversões necessárias</x:v>
      </x:c>
      <x:c r="G1" s="4" t="str">
        <x:v>% adequado</x:v>
      </x:c>
      <x:c r="H1" s="4" t="str">
        <x:v>Prioridade</x:v>
      </x:c>
      <x:c r="I1" s="4" t="str">
        <x:v>Critério</x:v>
      </x:c>
      <x:c r="J1" s="4" t="str">
        <x:v>Fonte Drive</x:v>
      </x:c>
    </x:row>
    <x:row r="2" ht="22" customHeight="1">
      <x:c r="A2" t="n">
        <x:v>1</x:v>
      </x:c>
      <x:c r="B2" t="str">
        <x:v>LEITURA</x:v>
      </x:c>
      <x:c r="C2" t="n">
        <x:v>24</x:v>
      </x:c>
      <x:c r="D2" t="n">
        <x:v>10</x:v>
      </x:c>
      <x:c r="E2" t="n">
        <x:f>ROUNDUP(C2*0.8,0)</x:f>
        <x:v>20</x:v>
      </x:c>
      <x:c r="F2" t="n">
        <x:f>MAX(0,E2-D2)</x:f>
        <x:v>10</x:v>
      </x:c>
      <x:c r="G2" s="8" t="n">
        <x:f>IFERROR(D2/C2,0)</x:f>
        <x:v>0.4166666666666667</x:v>
      </x:c>
      <x:c r="H2" t="str">
        <x:v>P1 - urgente</x:v>
      </x:c>
      <x:c r="I2" t="str">
        <x:v>Meta A = classificação original CAEd, não taxa de acertos</x:v>
      </x:c>
      <x:c r="J2" t="str">
        <x:v>https://drive.google.com/file/d/16eVTPVA7dcw777b6BaXqoDEoWD9_mfgi/view</x:v>
      </x:c>
    </x:row>
    <x:row r="3" ht="22" customHeight="1">
      <x:c r="A3" t="n">
        <x:v>1</x:v>
      </x:c>
      <x:c r="B3" t="str">
        <x:v>MATEMATICA</x:v>
      </x:c>
      <x:c r="C3" t="n">
        <x:v>24</x:v>
      </x:c>
      <x:c r="D3" t="n">
        <x:v>11</x:v>
      </x:c>
      <x:c r="E3" t="n">
        <x:f>ROUNDUP(C3*0.8,0)</x:f>
        <x:v>20</x:v>
      </x:c>
      <x:c r="F3" t="n">
        <x:f>MAX(0,E3-D3)</x:f>
        <x:v>9</x:v>
      </x:c>
      <x:c r="G3" s="8" t="n">
        <x:f>IFERROR(D3/C3,0)</x:f>
        <x:v>0.4583333333333333</x:v>
      </x:c>
      <x:c r="H3" t="str">
        <x:v>P1 - urgente</x:v>
      </x:c>
      <x:c r="I3" t="str">
        <x:v>Meta A = classificação original CAEd, não taxa de acertos</x:v>
      </x:c>
      <x:c r="J3" t="str">
        <x:v>https://drive.google.com/file/d/16eVTPVA7dcw777b6BaXqoDEoWD9_mfgi/view</x:v>
      </x:c>
    </x:row>
    <x:row r="4" ht="22" customHeight="1">
      <x:c r="A4" t="n">
        <x:v>2</x:v>
      </x:c>
      <x:c r="B4" t="str">
        <x:v>LEITURA</x:v>
      </x:c>
      <x:c r="C4" t="n">
        <x:v>28</x:v>
      </x:c>
      <x:c r="D4" t="n">
        <x:v>18</x:v>
      </x:c>
      <x:c r="E4" t="n">
        <x:f>ROUNDUP(C4*0.8,0)</x:f>
        <x:v>23</x:v>
      </x:c>
      <x:c r="F4" t="n">
        <x:f>MAX(0,E4-D4)</x:f>
        <x:v>5</x:v>
      </x:c>
      <x:c r="G4" s="8" t="n">
        <x:f>IFERROR(D4/C4,0)</x:f>
        <x:v>0.6428571428571429</x:v>
      </x:c>
      <x:c r="H4" t="str">
        <x:v>P2 - alta</x:v>
      </x:c>
      <x:c r="I4" t="str">
        <x:v>Meta A = classificação original CAEd, não taxa de acertos</x:v>
      </x:c>
      <x:c r="J4" t="str">
        <x:v>https://drive.google.com/file/d/16eVTPVA7dcw777b6BaXqoDEoWD9_mfgi/view</x:v>
      </x:c>
    </x:row>
    <x:row r="5" ht="22" customHeight="1">
      <x:c r="A5" t="n">
        <x:v>2</x:v>
      </x:c>
      <x:c r="B5" t="str">
        <x:v>MATEMATICA</x:v>
      </x:c>
      <x:c r="C5" t="n">
        <x:v>28</x:v>
      </x:c>
      <x:c r="D5" t="n">
        <x:v>15</x:v>
      </x:c>
      <x:c r="E5" t="n">
        <x:f>ROUNDUP(C5*0.8,0)</x:f>
        <x:v>23</x:v>
      </x:c>
      <x:c r="F5" t="n">
        <x:f>MAX(0,E5-D5)</x:f>
        <x:v>8</x:v>
      </x:c>
      <x:c r="G5" s="8" t="n">
        <x:f>IFERROR(D5/C5,0)</x:f>
        <x:v>0.5357142857142857</x:v>
      </x:c>
      <x:c r="H5" t="str">
        <x:v>P2 - alta</x:v>
      </x:c>
      <x:c r="I5" t="str">
        <x:v>Meta A = classificação original CAEd, não taxa de acertos</x:v>
      </x:c>
      <x:c r="J5" t="str">
        <x:v>https://drive.google.com/file/d/16eVTPVA7dcw777b6BaXqoDEoWD9_mfgi/view</x:v>
      </x:c>
    </x:row>
    <x:row r="6" ht="22" customHeight="1">
      <x:c r="A6" t="n">
        <x:v>3</x:v>
      </x:c>
      <x:c r="B6" t="str">
        <x:v>LEITURA</x:v>
      </x:c>
      <x:c r="C6" t="n">
        <x:v>24</x:v>
      </x:c>
      <x:c r="D6" t="n">
        <x:v>18</x:v>
      </x:c>
      <x:c r="E6" t="n">
        <x:f>ROUNDUP(C6*0.8,0)</x:f>
        <x:v>20</x:v>
      </x:c>
      <x:c r="F6" t="n">
        <x:f>MAX(0,E6-D6)</x:f>
        <x:v>2</x:v>
      </x:c>
      <x:c r="G6" s="8" t="n">
        <x:f>IFERROR(D6/C6,0)</x:f>
        <x:v>0.75</x:v>
      </x:c>
      <x:c r="H6" t="str">
        <x:v>P3 - pontual</x:v>
      </x:c>
      <x:c r="I6" t="str">
        <x:v>Meta A = classificação original CAEd, não taxa de acertos</x:v>
      </x:c>
      <x:c r="J6" t="str">
        <x:v>https://drive.google.com/file/d/16eVTPVA7dcw777b6BaXqoDEoWD9_mfgi/view</x:v>
      </x:c>
    </x:row>
    <x:row r="7" ht="22" customHeight="1">
      <x:c r="A7" t="n">
        <x:v>3</x:v>
      </x:c>
      <x:c r="B7" t="str">
        <x:v>MATEMATICA</x:v>
      </x:c>
      <x:c r="C7" t="n">
        <x:v>24</x:v>
      </x:c>
      <x:c r="D7" t="n">
        <x:v>17</x:v>
      </x:c>
      <x:c r="E7" t="n">
        <x:f>ROUNDUP(C7*0.8,0)</x:f>
        <x:v>20</x:v>
      </x:c>
      <x:c r="F7" t="n">
        <x:f>MAX(0,E7-D7)</x:f>
        <x:v>3</x:v>
      </x:c>
      <x:c r="G7" s="8" t="n">
        <x:f>IFERROR(D7/C7,0)</x:f>
        <x:v>0.7083333333333334</x:v>
      </x:c>
      <x:c r="H7" t="str">
        <x:v>P3 - pontual</x:v>
      </x:c>
      <x:c r="I7" t="str">
        <x:v>Meta A = classificação original CAEd, não taxa de acertos</x:v>
      </x:c>
      <x:c r="J7" t="str">
        <x:v>https://drive.google.com/file/d/16eVTPVA7dcw777b6BaXqoDEoWD9_mfgi/view</x:v>
      </x:c>
    </x:row>
    <x:row r="8" ht="22" customHeight="1">
      <x:c r="A8" t="n">
        <x:v>4</x:v>
      </x:c>
      <x:c r="B8" t="str">
        <x:v>LEITURA</x:v>
      </x:c>
      <x:c r="C8" t="n">
        <x:v>42</x:v>
      </x:c>
      <x:c r="D8" t="n">
        <x:v>33</x:v>
      </x:c>
      <x:c r="E8" t="n">
        <x:f>ROUNDUP(C8*0.8,0)</x:f>
        <x:v>34</x:v>
      </x:c>
      <x:c r="F8" t="n">
        <x:f>MAX(0,E8-D8)</x:f>
        <x:v>1</x:v>
      </x:c>
      <x:c r="G8" s="8" t="n">
        <x:f>IFERROR(D8/C8,0)</x:f>
        <x:v>0.7857142857142857</x:v>
      </x:c>
      <x:c r="H8" t="str">
        <x:v>P3 - pontual</x:v>
      </x:c>
      <x:c r="I8" t="str">
        <x:v>Meta A = classificação original CAEd, não taxa de acertos</x:v>
      </x:c>
      <x:c r="J8" t="str">
        <x:v>https://drive.google.com/file/d/16eVTPVA7dcw777b6BaXqoDEoWD9_mfgi/view</x:v>
      </x:c>
    </x:row>
    <x:row r="9" ht="22" customHeight="1">
      <x:c r="A9" t="n">
        <x:v>4</x:v>
      </x:c>
      <x:c r="B9" t="str">
        <x:v>MATEMATICA</x:v>
      </x:c>
      <x:c r="C9" t="n">
        <x:v>42</x:v>
      </x:c>
      <x:c r="D9" t="n">
        <x:v>16</x:v>
      </x:c>
      <x:c r="E9" t="n">
        <x:f>ROUNDUP(C9*0.8,0)</x:f>
        <x:v>34</x:v>
      </x:c>
      <x:c r="F9" t="n">
        <x:f>MAX(0,E9-D9)</x:f>
        <x:v>18</x:v>
      </x:c>
      <x:c r="G9" s="8" t="n">
        <x:f>IFERROR(D9/C9,0)</x:f>
        <x:v>0.38095238095238093</x:v>
      </x:c>
      <x:c r="H9" t="str">
        <x:v>P1 - urgente</x:v>
      </x:c>
      <x:c r="I9" t="str">
        <x:v>Meta A = classificação original CAEd, não taxa de acertos</x:v>
      </x:c>
      <x:c r="J9" t="str">
        <x:v>https://drive.google.com/file/d/16eVTPVA7dcw777b6BaXqoDEoWD9_mfgi/view</x:v>
      </x:c>
    </x:row>
    <x:row r="10" ht="22" customHeight="1">
      <x:c r="A10" t="n">
        <x:v>5</x:v>
      </x:c>
      <x:c r="B10" t="str">
        <x:v>LEITURA</x:v>
      </x:c>
      <x:c r="C10" t="n">
        <x:v>53</x:v>
      </x:c>
      <x:c r="D10" t="n">
        <x:v>45</x:v>
      </x:c>
      <x:c r="E10" t="n">
        <x:f>ROUNDUP(C10*0.8,0)</x:f>
        <x:v>43</x:v>
      </x:c>
      <x:c r="F10" t="n">
        <x:f>MAX(0,E10-D10)</x:f>
        <x:v>0</x:v>
      </x:c>
      <x:c r="G10" s="8" t="n">
        <x:f>IFERROR(D10/C10,0)</x:f>
        <x:v>0.8490566037735849</x:v>
      </x:c>
      <x:c r="H10" t="str">
        <x:v>Manter e acompanhar</x:v>
      </x:c>
      <x:c r="I10" t="str">
        <x:v>Meta A = classificação original CAEd, não taxa de acertos</x:v>
      </x:c>
      <x:c r="J10" t="str">
        <x:v>https://drive.google.com/file/d/16eVTPVA7dcw777b6BaXqoDEoWD9_mfgi/view</x:v>
      </x:c>
    </x:row>
    <x:row r="11" ht="22" customHeight="1">
      <x:c r="A11" t="n">
        <x:v>5</x:v>
      </x:c>
      <x:c r="B11" t="str">
        <x:v>MATEMATICA</x:v>
      </x:c>
      <x:c r="C11" t="n">
        <x:v>54</x:v>
      </x:c>
      <x:c r="D11" t="n">
        <x:v>35</x:v>
      </x:c>
      <x:c r="E11" t="n">
        <x:f>ROUNDUP(C11*0.8,0)</x:f>
        <x:v>44</x:v>
      </x:c>
      <x:c r="F11" t="n">
        <x:f>MAX(0,E11-D11)</x:f>
        <x:v>9</x:v>
      </x:c>
      <x:c r="G11" s="8" t="n">
        <x:f>IFERROR(D11/C11,0)</x:f>
        <x:v>0.6481481481481481</x:v>
      </x:c>
      <x:c r="H11" t="str">
        <x:v>P2 - alta</x:v>
      </x:c>
      <x:c r="I11" t="str">
        <x:v>Meta A = classificação original CAEd, não taxa de acertos</x:v>
      </x:c>
      <x:c r="J11" t="str">
        <x:v>https://drive.google.com/file/d/16eVTPVA7dcw777b6BaXqoDEoWD9_mfgi/view</x:v>
      </x:c>
    </x:row>
  </x:sheetData>
  <x:conditionalFormatting sqref="G2:G11">
    <x:cfRule type="dataBar" priority="1">
      <x:dataBar>
        <x:cfvo type="min"/>
        <x:cfvo type="max"/>
        <x:color rgb="FF487BA6"/>
      </x:dataBar>
      <x:extLst>
        <x:ext xmlns:x14="http://schemas.microsoft.com/office/spreadsheetml/2009/9/main" uri="{B025F937-C7B1-47D3-B67F-A62EFF666E3E}">
          <x14:id>{10ED7826-0895-F52E-FCCD-69352EAA1EEF}</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10ED7826-0895-F52E-FCCD-69352EAA1EEF}">
            <x14:dataBar gradient="1">
              <x14:cfvo type="min"/>
              <x14:cfvo type="max"/>
              <x14:fillColor rgb="FF487BA6"/>
            </x14:dataBar>
          </x14:cfRule>
          <xm:sqref>G2:G11</xm:sqref>
        </x14:conditionalFormatting>
      </x14:conditionalFormattings>
    </x:ext>
  </x:extLst>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0" hidden="0" customWidth="1"/>
    <x:col min="10" max="10" width="40" hidden="0" customWidth="1"/>
    <x:col min="11" max="11" width="40" hidden="0" customWidth="1"/>
    <x:col min="12" max="12" width="35" hidden="0" customWidth="1"/>
    <x:col min="13" max="13" width="16" hidden="0" customWidth="1"/>
    <x:col min="14" max="14" width="38" hidden="0" customWidth="1"/>
  </x:cols>
  <x:sheetData>
    <x:row r="1" ht="22" customHeight="1">
      <x:c r="A1" s="4" t="str">
        <x:v>Ano</x:v>
      </x:c>
      <x:c r="B1" s="4" t="str">
        <x:v>Componente</x:v>
      </x:c>
      <x:c r="C1" s="4" t="str">
        <x:v>Posição CAEd</x:v>
      </x:c>
      <x:c r="D1" s="4" t="str">
        <x:v>Acertos</x:v>
      </x:c>
      <x:c r="E1" s="4" t="str">
        <x:v>Oportunidades</x:v>
      </x:c>
      <x:c r="F1" s="4" t="str">
        <x:v>% acertos</x:v>
      </x:c>
      <x:c r="G1" s="4" t="str">
        <x:v>Diferença p/80pp</x:v>
      </x:c>
      <x:c r="H1" s="4" t="str">
        <x:v>Código CAEd</x:v>
      </x:c>
      <x:c r="I1" s="4" t="str">
        <x:v>Descrição CAEd</x:v>
      </x:c>
      <x:c r="J1" s="4" t="str">
        <x:v>BNCC</x:v>
      </x:c>
      <x:c r="K1" s="4" t="str">
        <x:v>Descrição BNCC</x:v>
      </x:c>
      <x:c r="L1" s="4" t="str">
        <x:v>Ressalva</x:v>
      </x:c>
      <x:c r="M1" s="4" t="str">
        <x:v>Validação</x:v>
      </x:c>
      <x:c r="N1" s="4" t="str">
        <x:v>Fonte Drive</x:v>
      </x:c>
    </x:row>
    <x:row r="2" ht="22" customHeight="1">
      <x:c r="A2" t="n">
        <x:v>1</x:v>
      </x:c>
      <x:c r="B2" t="str">
        <x:v>LEITURA</x:v>
      </x:c>
      <x:c r="C2" t="str">
        <x:v>H 01</x:v>
      </x:c>
      <x:c r="D2" t="n">
        <x:v>40</x:v>
      </x:c>
      <x:c r="E2" t="n">
        <x:v>48</x:v>
      </x:c>
      <x:c r="F2" t="n">
        <x:v>83.33</x:v>
      </x:c>
      <x:c r="G2" t="n">
        <x:v>-3.33</x:v>
      </x:c>
      <x:c r="H2" t="str">
        <x:v>1EF01_P</x:v>
      </x:c>
      <x:c r="I2" t="str">
        <x:v>Distinguir letras do alfabeto de desenhos e/ou outros sinais gráficos.</x:v>
      </x:c>
      <x:c r="J2" t="str">
        <x:v>EF01LP04</x:v>
      </x:c>
      <x:c r="K2" t="str">
        <x:v>Distinguir as letras do alfabeto de outros sinais gráficos.</x:v>
      </x:c>
      <x:c r="L2" t="str">
        <x:v>Associação curricular documentada não demonstra equivalência integral, pré-requisito causal ou domínio individual da BNCC.</x:v>
      </x:c>
      <x:c r="M2" t="str">
        <x:v>mapeamento rastreado</x:v>
      </x:c>
      <x:c r="N2" t="str">
        <x:v>https://drive.google.com/file/d/1n8F2kDfidB84QrJTtrHgbhUHL2G311qV/view</x:v>
      </x:c>
    </x:row>
    <x:row r="3" ht="22" customHeight="1">
      <x:c r="A3" t="n">
        <x:v>1</x:v>
      </x:c>
      <x:c r="B3" t="str">
        <x:v>LEITURA</x:v>
      </x:c>
      <x:c r="C3" t="str">
        <x:v>H 02</x:v>
      </x:c>
      <x:c r="D3" t="n">
        <x:v>36</x:v>
      </x:c>
      <x:c r="E3" t="n">
        <x:v>48</x:v>
      </x:c>
      <x:c r="F3" t="n">
        <x:v>75</x:v>
      </x:c>
      <x:c r="G3" t="n">
        <x:v>5</x:v>
      </x:c>
      <x:c r="H3" t="str">
        <x:v>1EF02_P</x:v>
      </x:c>
      <x:c r="I3" t="str">
        <x:v>Reconhecer letras do alfabeto.</x:v>
      </x:c>
      <x:c r="J3" t="str">
        <x:v>EF01LP10</x:v>
      </x:c>
      <x:c r="K3" t="str">
        <x:v>Nomear as letras do alfabeto e recitá-lo na ordem das letras.</x:v>
      </x:c>
      <x:c r="L3" t="str">
        <x:v>Associação curricular documentada não demonstra equivalência integral, pré-requisito causal ou domínio individual da BNCC.</x:v>
      </x:c>
      <x:c r="M3" t="str">
        <x:v>mapeamento rastreado</x:v>
      </x:c>
      <x:c r="N3" t="str">
        <x:v>https://drive.google.com/file/d/1n8F2kDfidB84QrJTtrHgbhUHL2G311qV/view</x:v>
      </x:c>
    </x:row>
    <x:row r="4" ht="22" customHeight="1">
      <x:c r="A4" t="n">
        <x:v>1</x:v>
      </x:c>
      <x:c r="B4" t="str">
        <x:v>LEITURA</x:v>
      </x:c>
      <x:c r="C4" t="str">
        <x:v>H 03</x:v>
      </x:c>
      <x:c r="D4" t="n">
        <x:v>61</x:v>
      </x:c>
      <x:c r="E4" t="n">
        <x:v>72</x:v>
      </x:c>
      <x:c r="F4" t="n">
        <x:v>84.72</x:v>
      </x:c>
      <x:c r="G4" t="n">
        <x:v>-4.72</x:v>
      </x:c>
      <x:c r="H4" t="str">
        <x:v>1EF03_P</x:v>
      </x:c>
      <x:c r="I4" t="str">
        <x:v>Reconhecer as direções da escrita.</x:v>
      </x:c>
      <x:c r="J4" t="str">
        <x:v>EF01LP01</x:v>
      </x:c>
      <x:c r="K4" t="str">
        <x:v>Reconhecer que textos são lidos e escritos da esquerda para a direita e de cima para baixo da página.</x:v>
      </x:c>
      <x:c r="L4" t="str">
        <x:v>Associação curricular documentada não demonstra equivalência integral, pré-requisito causal ou domínio individual da BNCC.</x:v>
      </x:c>
      <x:c r="M4" t="str">
        <x:v>mapeamento rastreado</x:v>
      </x:c>
      <x:c r="N4" t="str">
        <x:v>https://drive.google.com/file/d/1n8F2kDfidB84QrJTtrHgbhUHL2G311qV/view</x:v>
      </x:c>
    </x:row>
    <x:row r="5" ht="22" customHeight="1">
      <x:c r="A5" t="n">
        <x:v>1</x:v>
      </x:c>
      <x:c r="B5" t="str">
        <x:v>LEITURA</x:v>
      </x:c>
      <x:c r="C5" t="str">
        <x:v>H 04</x:v>
      </x:c>
      <x:c r="D5" t="n">
        <x:v>36</x:v>
      </x:c>
      <x:c r="E5" t="n">
        <x:v>72</x:v>
      </x:c>
      <x:c r="F5" t="n">
        <x:v>50</x:v>
      </x:c>
      <x:c r="G5" t="n">
        <x:v>30</x:v>
      </x:c>
      <x:c r="H5" t="str">
        <x:v>1EF04_P</x:v>
      </x:c>
      <x:c r="I5" t="str">
        <x:v>Identificar a correta segmentação das palavras na escrita.</x:v>
      </x:c>
      <x:c r="J5" t="str">
        <x:v>EF01LP12</x:v>
      </x:c>
      <x:c r="K5" t="str">
        <x:v>Reconhecer a separação das palavras, na escrita, por espaços em branco.</x:v>
      </x:c>
      <x:c r="L5" t="str">
        <x:v>Associação curricular documentada não demonstra equivalência integral, pré-requisito causal ou domínio individual da BNCC.</x:v>
      </x:c>
      <x:c r="M5" t="str">
        <x:v>mapeamento rastreado</x:v>
      </x:c>
      <x:c r="N5" t="str">
        <x:v>https://drive.google.com/file/d/1n8F2kDfidB84QrJTtrHgbhUHL2G311qV/view</x:v>
      </x:c>
    </x:row>
    <x:row r="6" ht="22" customHeight="1">
      <x:c r="A6" t="n">
        <x:v>1</x:v>
      </x:c>
      <x:c r="B6" t="str">
        <x:v>LEITURA</x:v>
      </x:c>
      <x:c r="C6" t="str">
        <x:v>H 05</x:v>
      </x:c>
      <x:c r="D6" t="n">
        <x:v>45</x:v>
      </x:c>
      <x:c r="E6" t="n">
        <x:v>72</x:v>
      </x:c>
      <x:c r="F6" t="n">
        <x:v>62.5</x:v>
      </x:c>
      <x:c r="G6" t="n">
        <x:v>17.5</x:v>
      </x:c>
      <x:c r="H6" t="str">
        <x:v>1EF06_P</x:v>
      </x:c>
      <x:c r="I6" t="str">
        <x:v>Identificar rimas.</x:v>
      </x:c>
      <x:c r="J6" t="str">
        <x:v>EF12LP19</x:v>
      </x:c>
      <x:c r="K6" t="str">
        <x:v>Reconhecer, em textos versificados, rimas, sonoridades, jogos de palavras, palavras, expressões, comparações, relacionando-as com sensações e associações.</x:v>
      </x:c>
      <x:c r="L6" t="str">
        <x:v>Associação curricular documentada não demonstra equivalência integral, pré-requisito causal ou domínio individual da BNCC.</x:v>
      </x:c>
      <x:c r="M6" t="str">
        <x:v>mapeamento rastreado</x:v>
      </x:c>
      <x:c r="N6" t="str">
        <x:v>https://drive.google.com/file/d/1n8F2kDfidB84QrJTtrHgbhUHL2G311qV/view</x:v>
      </x:c>
    </x:row>
    <x:row r="7" ht="22" customHeight="1">
      <x:c r="A7" t="n">
        <x:v>1</x:v>
      </x:c>
      <x:c r="B7" t="str">
        <x:v>LEITURA</x:v>
      </x:c>
      <x:c r="C7" t="str">
        <x:v>H 06</x:v>
      </x:c>
      <x:c r="D7" t="n">
        <x:v>65</x:v>
      </x:c>
      <x:c r="E7" t="n">
        <x:v>72</x:v>
      </x:c>
      <x:c r="F7" t="n">
        <x:v>90.28</x:v>
      </x:c>
      <x:c r="G7" t="n">
        <x:v>-10.28</x:v>
      </x:c>
      <x:c r="H7" t="str">
        <x:v>1EF07_P</x:v>
      </x:c>
      <x:c r="I7" t="str">
        <x:v>Identificar semelhanças entre sílabas (inicial, medial, final) de palavras.</x:v>
      </x:c>
      <x:c r="J7" t="str">
        <x:v>EF01LP09</x:v>
      </x:c>
      <x:c r="K7" t="str">
        <x:v>Comparar palavras, identificando semelhanças e diferenças entre sons de sílabas iniciais.</x:v>
      </x:c>
      <x:c r="L7" t="str">
        <x:v>Associação curricular documentada não demonstra equivalência integral, pré-requisito causal ou domínio individual da BNCC.</x:v>
      </x:c>
      <x:c r="M7" t="str">
        <x:v>mapeamento rastreado</x:v>
      </x:c>
      <x:c r="N7" t="str">
        <x:v>https://drive.google.com/file/d/1n8F2kDfidB84QrJTtrHgbhUHL2G311qV/view</x:v>
      </x:c>
    </x:row>
    <x:row r="8" ht="22" customHeight="1">
      <x:c r="A8" t="n">
        <x:v>1</x:v>
      </x:c>
      <x:c r="B8" t="str">
        <x:v>LEITURA</x:v>
      </x:c>
      <x:c r="C8" t="str">
        <x:v>H 07</x:v>
      </x:c>
      <x:c r="D8" t="n">
        <x:v>29</x:v>
      </x:c>
      <x:c r="E8" t="n">
        <x:v>48</x:v>
      </x:c>
      <x:c r="F8" t="n">
        <x:v>60.42</x:v>
      </x:c>
      <x:c r="G8" t="n">
        <x:v>19.58</x:v>
      </x:c>
      <x:c r="H8" t="str">
        <x:v>1EF08_P</x:v>
      </x:c>
      <x:c r="I8" t="str">
        <x:v>Ler palavras formadas exclusivamente por sílabas canônicas.</x:v>
      </x:c>
      <x:c r="J8" t="str">
        <x:v>EF02LP04</x:v>
      </x:c>
      <x:c r="K8" t="str">
        <x:v>Ler e escrever corretamente palavras com sílabas CV, V, CVC, CCV, identificando que existem vogais em todas as sílabas.</x:v>
      </x:c>
      <x:c r="L8" t="str">
        <x:v>Associação curricular documentada não demonstra equivalência integral, pré-requisito causal ou domínio individual da BNCC.</x:v>
      </x:c>
      <x:c r="M8" t="str">
        <x:v>mapeamento rastreado</x:v>
      </x:c>
      <x:c r="N8" t="str">
        <x:v>https://drive.google.com/file/d/1n8F2kDfidB84QrJTtrHgbhUHL2G311qV/view</x:v>
      </x:c>
    </x:row>
    <x:row r="9" ht="22" customHeight="1">
      <x:c r="A9" t="n">
        <x:v>1</x:v>
      </x:c>
      <x:c r="B9" t="str">
        <x:v>LEITURA</x:v>
      </x:c>
      <x:c r="C9" t="str">
        <x:v>H 08</x:v>
      </x:c>
      <x:c r="D9" t="n">
        <x:v>41</x:v>
      </x:c>
      <x:c r="E9" t="n">
        <x:v>48</x:v>
      </x:c>
      <x:c r="F9" t="n">
        <x:v>85.42</x:v>
      </x:c>
      <x:c r="G9" t="n">
        <x:v>-5.42</x:v>
      </x:c>
      <x:c r="H9" t="str">
        <x:v>1EF09_P</x:v>
      </x:c>
      <x:c r="I9" t="str">
        <x:v>Ler palavras formadas por sílabas não canônicas.</x:v>
      </x:c>
      <x:c r="J9" t="str">
        <x:v>EF02LP04</x:v>
      </x:c>
      <x:c r="K9" t="str">
        <x:v>Ler e escrever corretamente palavras com sílabas CV, V, CVC, CCV, identificando que existem vogais em todas as sílabas.</x:v>
      </x:c>
      <x:c r="L9" t="str">
        <x:v>Associação curricular documentada não demonstra equivalência integral, pré-requisito causal ou domínio individual da BNCC.</x:v>
      </x:c>
      <x:c r="M9" t="str">
        <x:v>mapeamento rastreado</x:v>
      </x:c>
      <x:c r="N9" t="str">
        <x:v>https://drive.google.com/file/d/1n8F2kDfidB84QrJTtrHgbhUHL2G311qV/view</x:v>
      </x:c>
    </x:row>
    <x:row r="10" ht="22" customHeight="1">
      <x:c r="A10" t="n">
        <x:v>1</x:v>
      </x:c>
      <x:c r="B10" t="str">
        <x:v>LEITURA</x:v>
      </x:c>
      <x:c r="C10" t="str">
        <x:v>H 09</x:v>
      </x:c>
      <x:c r="D10" t="n">
        <x:v>48</x:v>
      </x:c>
      <x:c r="E10" t="n">
        <x:v>48</x:v>
      </x:c>
      <x:c r="F10" t="n">
        <x:v>100</x:v>
      </x:c>
      <x:c r="G10" t="n">
        <x:v>-20</x:v>
      </x:c>
      <x:c r="H10" t="str">
        <x:v>1EF10_P</x:v>
      </x:c>
      <x:c r="I10" t="str">
        <x:v>Ler frases (ordem direta, estrutura canônica: sujeito, verbo, objeto - um complemento).</x:v>
      </x:c>
      <x:c r="J10" t="str">
        <x:v>EF01LP02</x:v>
      </x:c>
      <x:c r="K10" t="str">
        <x:v>Escrever, espontaneamente ou por ditado, palavras e frases de forma alfabética – usando letras/grafemas que representem fonemas.</x:v>
      </x:c>
      <x:c r="L10" t="str">
        <x:v>O descritor CAEd trata de ler frases; o texto BNCC trata de escrever palavras/frases. Associação publicada preservada com ressalva semântica.</x:v>
      </x:c>
      <x:c r="M10" t="str">
        <x:v>mapeamento rastreado</x:v>
      </x:c>
      <x:c r="N10" t="str">
        <x:v>https://drive.google.com/file/d/1n8F2kDfidB84QrJTtrHgbhUHL2G311qV/view</x:v>
      </x:c>
    </x:row>
    <x:row r="11" ht="22" customHeight="1">
      <x:c r="A11" t="n">
        <x:v>1</x:v>
      </x:c>
      <x:c r="B11" t="str">
        <x:v>LEITURA</x:v>
      </x:c>
      <x:c r="C11"/>
      <x:c r="D11" t="n">
        <x:v>401</x:v>
      </x:c>
      <x:c r="E11" t="n">
        <x:v>528</x:v>
      </x:c>
      <x:c r="F11" t="n">
        <x:v>75.95</x:v>
      </x:c>
      <x:c r="G11" t="n">
        <x:v>4.05</x:v>
      </x:c>
      <x:c r="H11" t="str"/>
      <x:c r="I11" t="str"/>
      <x:c r="J11" t="str"/>
      <x:c r="K11" t="str"/>
      <x:c r="L11" t="str"/>
      <x:c r="M11" t="str">
        <x:v>sem vínculo validado</x:v>
      </x:c>
      <x:c r="N11" t="str">
        <x:v>https://drive.google.com/file/d/1n8F2kDfidB84QrJTtrHgbhUHL2G311qV/view</x:v>
      </x:c>
    </x:row>
    <x:row r="12" ht="22" customHeight="1">
      <x:c r="A12" t="n">
        <x:v>1</x:v>
      </x:c>
      <x:c r="B12" t="str">
        <x:v>MATEMATICA</x:v>
      </x:c>
      <x:c r="C12" t="str">
        <x:v>H 01</x:v>
      </x:c>
      <x:c r="D12" t="n">
        <x:v>96</x:v>
      </x:c>
      <x:c r="E12" t="n">
        <x:v>96</x:v>
      </x:c>
      <x:c r="F12" t="n">
        <x:v>100</x:v>
      </x:c>
      <x:c r="G12" t="n">
        <x:v>-20</x:v>
      </x:c>
      <x:c r="H12" t="str">
        <x:v>1EF01_M</x:v>
      </x:c>
      <x:c r="I12" t="str">
        <x:v>Contar a quantidade de objetos de uma coleção contendo até 20 elementos, apresentando o resultado em registro numérico.</x:v>
      </x:c>
      <x:c r="J12" t="str">
        <x:v>EF01MA04</x:v>
      </x:c>
      <x:c r="K12" t="str">
        <x:v>Contar a quantidade de objetos de coleções até 100 unidades e apresentar o resultado por registros verbais e simbólicos, em situações de seu interesse, como jogos, brincadeiras, materiais da sala de aula, entre outros.</x:v>
      </x:c>
      <x:c r="L12" t="str">
        <x:v>Associação curricular documentada não demonstra equivalência integral, pré-requisito causal ou domínio individual da BNCC.</x:v>
      </x:c>
      <x:c r="M12" t="str">
        <x:v>mapeamento rastreado</x:v>
      </x:c>
      <x:c r="N12" t="str">
        <x:v>https://drive.google.com/file/d/1n8F2kDfidB84QrJTtrHgbhUHL2G311qV/view</x:v>
      </x:c>
    </x:row>
    <x:row r="13" ht="22" customHeight="1">
      <x:c r="A13" t="n">
        <x:v>1</x:v>
      </x:c>
      <x:c r="B13" t="str">
        <x:v>MATEMATICA</x:v>
      </x:c>
      <x:c r="C13" t="str">
        <x:v>H 02</x:v>
      </x:c>
      <x:c r="D13" t="n">
        <x:v>56</x:v>
      </x:c>
      <x:c r="E13" t="n">
        <x:v>72</x:v>
      </x:c>
      <x:c r="F13" t="n">
        <x:v>77.78</x:v>
      </x:c>
      <x:c r="G13" t="n">
        <x:v>2.22</x:v>
      </x:c>
      <x:c r="H13" t="str">
        <x:v>1EF02_M</x:v>
      </x:c>
      <x:c r="I13" t="str">
        <x:v>Comparar quantidades de objetos de coleções, contendo até 20 elementos cada, com suporte de imagens, indicando qual tem mais, qual tem menos ou quais têm a mesma quantidade.</x:v>
      </x:c>
      <x:c r="J13" t="str">
        <x:v>EF01MA03</x:v>
      </x:c>
      <x:c r="K13" t="str">
        <x:v>Estimar e comparar quantidades de objetos de dois conjuntos (em torno de 20 elementos), por estimativa e/ou por correspondência (um a um, dois a dois) para indicar “tem mais”, “tem menos” ou “tem a mesma quantidade”.</x:v>
      </x:c>
      <x:c r="L13" t="str">
        <x:v>Associação curricular documentada não demonstra equivalência integral, pré-requisito causal ou domínio individual da BNCC.</x:v>
      </x:c>
      <x:c r="M13" t="str">
        <x:v>mapeamento rastreado</x:v>
      </x:c>
      <x:c r="N13" t="str">
        <x:v>https://drive.google.com/file/d/1n8F2kDfidB84QrJTtrHgbhUHL2G311qV/view</x:v>
      </x:c>
    </x:row>
    <x:row r="14" ht="22" customHeight="1">
      <x:c r="A14" t="n">
        <x:v>1</x:v>
      </x:c>
      <x:c r="B14" t="str">
        <x:v>MATEMATICA</x:v>
      </x:c>
      <x:c r="C14" t="str">
        <x:v>H 03</x:v>
      </x:c>
      <x:c r="D14" t="n">
        <x:v>51</x:v>
      </x:c>
      <x:c r="E14" t="n">
        <x:v>72</x:v>
      </x:c>
      <x:c r="F14" t="n">
        <x:v>70.83</x:v>
      </x:c>
      <x:c r="G14" t="n">
        <x:v>9.17</x:v>
      </x:c>
      <x:c r="H14" t="str">
        <x:v>1EF06_M</x:v>
      </x:c>
      <x:c r="I14" t="str">
        <x:v>Classificar objetos segundo atributos de cor, forma ou medida.</x:v>
      </x:c>
      <x:c r="J14" t="str">
        <x:v>EF01MA09</x:v>
      </x:c>
      <x:c r="K14" t="str">
        <x:v>Organizar e ordenar objetos familiares ou representações por figuras, por meio de atributos, tais como cor, forma e medida.</x:v>
      </x:c>
      <x:c r="L14" t="str">
        <x:v>Associação curricular documentada não demonstra equivalência integral, pré-requisito causal ou domínio individual da BNCC.</x:v>
      </x:c>
      <x:c r="M14" t="str">
        <x:v>mapeamento rastreado</x:v>
      </x:c>
      <x:c r="N14" t="str">
        <x:v>https://drive.google.com/file/d/1n8F2kDfidB84QrJTtrHgbhUHL2G311qV/view</x:v>
      </x:c>
    </x:row>
    <x:row r="15" ht="22" customHeight="1">
      <x:c r="A15" t="n">
        <x:v>1</x:v>
      </x:c>
      <x:c r="B15" t="str">
        <x:v>MATEMATICA</x:v>
      </x:c>
      <x:c r="C15" t="str">
        <x:v>H 04</x:v>
      </x:c>
      <x:c r="D15" t="n">
        <x:v>57</x:v>
      </x:c>
      <x:c r="E15" t="n">
        <x:v>72</x:v>
      </x:c>
      <x:c r="F15" t="n">
        <x:v>79.17</x:v>
      </x:c>
      <x:c r="G15" t="n">
        <x:v>0.83</x:v>
      </x:c>
      <x:c r="H15" t="str">
        <x:v>1EF08_M</x:v>
      </x:c>
      <x:c r="I15" t="str">
        <x:v>Interpretar localização de pessoas, animais ou objetos no espaço, considerando um ponto de referência e noções de orientação (à direita, à esquerda, em frente, atrás, em cima ou embaixo).</x:v>
      </x:c>
      <x:c r="J15" t="str">
        <x:v>EF01MA12</x:v>
      </x:c>
      <x:c r="K15" t="str">
        <x:v>Descrever a localização de pessoas e de objetos no espaço segundo um dado ponto de referência, compreendendo que, para a utilização de termos que se referem à posição, como direita, esquerda, em cima, em baixo, é necessário explicitar-se o referencial.</x:v>
      </x:c>
      <x:c r="L15" t="str">
        <x:v>Associação curricular documentada não demonstra equivalência integral, pré-requisito causal ou domínio individual da BNCC.</x:v>
      </x:c>
      <x:c r="M15" t="str">
        <x:v>mapeamento rastreado</x:v>
      </x:c>
      <x:c r="N15" t="str">
        <x:v>https://drive.google.com/file/d/1n8F2kDfidB84QrJTtrHgbhUHL2G311qV/view</x:v>
      </x:c>
    </x:row>
    <x:row r="16" ht="22" customHeight="1">
      <x:c r="A16" t="n">
        <x:v>1</x:v>
      </x:c>
      <x:c r="B16" t="str">
        <x:v>MATEMATICA</x:v>
      </x:c>
      <x:c r="C16" t="str">
        <x:v>H 05</x:v>
      </x:c>
      <x:c r="D16" t="n">
        <x:v>72</x:v>
      </x:c>
      <x:c r="E16" t="n">
        <x:v>72</x:v>
      </x:c>
      <x:c r="F16" t="n">
        <x:v>100</x:v>
      </x:c>
      <x:c r="G16" t="n">
        <x:v>-20</x:v>
      </x:c>
      <x:c r="H16" t="str">
        <x:v>1EF09_M</x:v>
      </x:c>
      <x:c r="I16" t="str">
        <x:v>Reconhecer figura geométrica espacial (cone, cilindro, esfera ou bloco retangular) em objetos do mundo físico, pela sua forma.</x:v>
      </x:c>
      <x:c r="J16" t="str">
        <x:v>EF01MA13</x:v>
      </x:c>
      <x:c r="K16" t="str">
        <x:v>Relacionar figuras geométricas espaciais (cones, cilindros, esferas e blocos retangulares) a objetos familiares do mundo físico.</x:v>
      </x:c>
      <x:c r="L16" t="str">
        <x:v>Associação curricular documentada não demonstra equivalência integral, pré-requisito causal ou domínio individual da BNCC.</x:v>
      </x:c>
      <x:c r="M16" t="str">
        <x:v>mapeamento rastreado</x:v>
      </x:c>
      <x:c r="N16" t="str">
        <x:v>https://drive.google.com/file/d/1n8F2kDfidB84QrJTtrHgbhUHL2G311qV/view</x:v>
      </x:c>
    </x:row>
    <x:row r="17" ht="22" customHeight="1">
      <x:c r="A17" t="n">
        <x:v>1</x:v>
      </x:c>
      <x:c r="B17" t="str">
        <x:v>MATEMATICA</x:v>
      </x:c>
      <x:c r="C17" t="str">
        <x:v>H 06</x:v>
      </x:c>
      <x:c r="D17" t="n">
        <x:v>72</x:v>
      </x:c>
      <x:c r="E17" t="n">
        <x:v>72</x:v>
      </x:c>
      <x:c r="F17" t="n">
        <x:v>100</x:v>
      </x:c>
      <x:c r="G17" t="n">
        <x:v>-20</x:v>
      </x:c>
      <x:c r="H17" t="str">
        <x:v>1EF10_M</x:v>
      </x:c>
      <x:c r="I17" t="str">
        <x:v>Reconhecer figuras geométricas planas (círculo, quadrado, retângulo ou triângulo) desenhadas em diferentes disposições.</x:v>
      </x:c>
      <x:c r="J17" t="str">
        <x:v>EF01MA14</x:v>
      </x:c>
      <x:c r="K17" t="str">
        <x:v>Identificar e nomear figuras planas (círculo, quadrado, retângulo e triângulo) em desenhos apresentados em diferentes disposições ou em contornos de faces de sólidos geométricos.</x:v>
      </x:c>
      <x:c r="L17" t="str">
        <x:v>Associação curricular documentada não demonstra equivalência integral, pré-requisito causal ou domínio individual da BNCC.</x:v>
      </x:c>
      <x:c r="M17" t="str">
        <x:v>mapeamento rastreado</x:v>
      </x:c>
      <x:c r="N17" t="str">
        <x:v>https://drive.google.com/file/d/1n8F2kDfidB84QrJTtrHgbhUHL2G311qV/view</x:v>
      </x:c>
    </x:row>
    <x:row r="18" ht="22" customHeight="1">
      <x:c r="A18" t="n">
        <x:v>1</x:v>
      </x:c>
      <x:c r="B18" t="str">
        <x:v>MATEMATICA</x:v>
      </x:c>
      <x:c r="C18" t="str">
        <x:v>H 07</x:v>
      </x:c>
      <x:c r="D18" t="n">
        <x:v>72</x:v>
      </x:c>
      <x:c r="E18" t="n">
        <x:v>72</x:v>
      </x:c>
      <x:c r="F18" t="n">
        <x:v>100</x:v>
      </x:c>
      <x:c r="G18" t="n">
        <x:v>-20</x:v>
      </x:c>
      <x:c r="H18" t="str">
        <x:v>1EF11_M</x:v>
      </x:c>
      <x:c r="I18" t="str">
        <x:v>Comparar objetos de uso cotidiano por meio de um dos atributos: comprimento, capacidade ou massa.</x:v>
      </x:c>
      <x:c r="J18" t="str">
        <x:v>EF01MA15</x:v>
      </x:c>
      <x:c r="K18" t="str">
        <x:v>Comparar comprimentos, capacidades ou massas, utilizando termos como mais alto, mais baixo, mais comprido, mais curto, mais grosso, mais fino, mais largo, mais pesado, mais leve, cabe mais, cabe menos, entre outros, para ordenar objetos de uso cotidiano.</x:v>
      </x:c>
      <x:c r="L18" t="str">
        <x:v>Associação curricular documentada não demonstra equivalência integral, pré-requisito causal ou domínio individual da BNCC.</x:v>
      </x:c>
      <x:c r="M18" t="str">
        <x:v>mapeamento rastreado</x:v>
      </x:c>
      <x:c r="N18" t="str">
        <x:v>https://drive.google.com/file/d/1n8F2kDfidB84QrJTtrHgbhUHL2G311qV/view</x:v>
      </x:c>
    </x:row>
    <x:row r="19" ht="22" customHeight="1">
      <x:c r="A19" t="n">
        <x:v>1</x:v>
      </x:c>
      <x:c r="B19" t="str">
        <x:v>MATEMATICA</x:v>
      </x:c>
      <x:c r="C19"/>
      <x:c r="D19" t="n">
        <x:v>476</x:v>
      </x:c>
      <x:c r="E19" t="n">
        <x:v>528</x:v>
      </x:c>
      <x:c r="F19" t="n">
        <x:v>90.15</x:v>
      </x:c>
      <x:c r="G19" t="n">
        <x:v>-10.15</x:v>
      </x:c>
      <x:c r="H19" t="str"/>
      <x:c r="I19" t="str"/>
      <x:c r="J19" t="str"/>
      <x:c r="K19" t="str"/>
      <x:c r="L19" t="str"/>
      <x:c r="M19" t="str">
        <x:v>sem vínculo validado</x:v>
      </x:c>
      <x:c r="N19" t="str">
        <x:v>https://drive.google.com/file/d/1n8F2kDfidB84QrJTtrHgbhUHL2G311qV/view</x:v>
      </x:c>
    </x:row>
    <x:row r="20" ht="22" customHeight="1">
      <x:c r="A20" t="n">
        <x:v>2</x:v>
      </x:c>
      <x:c r="B20" t="str">
        <x:v>LEITURA</x:v>
      </x:c>
      <x:c r="C20" t="str">
        <x:v>H 01</x:v>
      </x:c>
      <x:c r="D20" t="n">
        <x:v>20</x:v>
      </x:c>
      <x:c r="E20" t="n">
        <x:v>56</x:v>
      </x:c>
      <x:c r="F20" t="n">
        <x:v>35.71</x:v>
      </x:c>
      <x:c r="G20" t="n">
        <x:v>44.29</x:v>
      </x:c>
      <x:c r="H20" t="str">
        <x:v>1EF05_P</x:v>
      </x:c>
      <x:c r="I20" t="str">
        <x:v>Reconhecer o local de inserção de uma palavra na ordem alfabética.</x:v>
      </x:c>
      <x:c r="J20" t="str">
        <x:v>EF01LP10</x:v>
      </x:c>
      <x:c r="K20" t="str">
        <x:v>Nomear as letras do alfabeto e recitá-lo na ordem das letras.</x:v>
      </x:c>
      <x:c r="L20" t="str">
        <x:v>Associação curricular documentada não demonstra equivalência integral, pré-requisito causal ou domínio individual da BNCC.</x:v>
      </x:c>
      <x:c r="M20" t="str">
        <x:v>mapeamento rastreado</x:v>
      </x:c>
      <x:c r="N20" t="str">
        <x:v>https://drive.google.com/file/d/1n8F2kDfidB84QrJTtrHgbhUHL2G311qV/view</x:v>
      </x:c>
    </x:row>
    <x:row r="21" ht="22" customHeight="1">
      <x:c r="A21" t="n">
        <x:v>2</x:v>
      </x:c>
      <x:c r="B21" t="str">
        <x:v>LEITURA</x:v>
      </x:c>
      <x:c r="C21" t="str">
        <x:v>H 02</x:v>
      </x:c>
      <x:c r="D21" t="n">
        <x:v>40</x:v>
      </x:c>
      <x:c r="E21" t="n">
        <x:v>56</x:v>
      </x:c>
      <x:c r="F21" t="n">
        <x:v>71.43</x:v>
      </x:c>
      <x:c r="G21" t="n">
        <x:v>8.57</x:v>
      </x:c>
      <x:c r="H21" t="str">
        <x:v>1EF06_P</x:v>
      </x:c>
      <x:c r="I21" t="str">
        <x:v>Identificar rimas.</x:v>
      </x:c>
      <x:c r="J21" t="str">
        <x:v>EF12LP19</x:v>
      </x:c>
      <x:c r="K21" t="str">
        <x:v>Reconhecer, em textos versificados, rimas, sonoridades, jogos de palavras, palavras, expressões, comparações, relacionando-as com sensações e associações.</x:v>
      </x:c>
      <x:c r="L21" t="str">
        <x:v>Associação curricular documentada não demonstra equivalência integral, pré-requisito causal ou domínio individual da BNCC.</x:v>
      </x:c>
      <x:c r="M21" t="str">
        <x:v>mapeamento rastreado</x:v>
      </x:c>
      <x:c r="N21" t="str">
        <x:v>https://drive.google.com/file/d/1n8F2kDfidB84QrJTtrHgbhUHL2G311qV/view</x:v>
      </x:c>
    </x:row>
    <x:row r="22" ht="22" customHeight="1">
      <x:c r="A22" t="n">
        <x:v>2</x:v>
      </x:c>
      <x:c r="B22" t="str">
        <x:v>LEITURA</x:v>
      </x:c>
      <x:c r="C22" t="str">
        <x:v>H 03</x:v>
      </x:c>
      <x:c r="D22" t="n">
        <x:v>45</x:v>
      </x:c>
      <x:c r="E22" t="n">
        <x:v>56</x:v>
      </x:c>
      <x:c r="F22" t="n">
        <x:v>80.36</x:v>
      </x:c>
      <x:c r="G22" t="n">
        <x:v>-0.36</x:v>
      </x:c>
      <x:c r="H22" t="str">
        <x:v>1EF07_P</x:v>
      </x:c>
      <x:c r="I22" t="str">
        <x:v>Identificar semelhanças entre sílabas (inicial, medial, final) de palavras.</x:v>
      </x:c>
      <x:c r="J22" t="str">
        <x:v>EF01LP09</x:v>
      </x:c>
      <x:c r="K22" t="str">
        <x:v>Comparar palavras, identificando semelhanças e diferenças entre sons de sílabas iniciais.</x:v>
      </x:c>
      <x:c r="L22" t="str">
        <x:v>Associação curricular documentada não demonstra equivalência integral, pré-requisito causal ou domínio individual da BNCC.</x:v>
      </x:c>
      <x:c r="M22" t="str">
        <x:v>mapeamento rastreado</x:v>
      </x:c>
      <x:c r="N22" t="str">
        <x:v>https://drive.google.com/file/d/1n8F2kDfidB84QrJTtrHgbhUHL2G311qV/view</x:v>
      </x:c>
    </x:row>
    <x:row r="23" ht="22" customHeight="1">
      <x:c r="A23" t="n">
        <x:v>2</x:v>
      </x:c>
      <x:c r="B23" t="str">
        <x:v>LEITURA</x:v>
      </x:c>
      <x:c r="C23" t="str">
        <x:v>H 04</x:v>
      </x:c>
      <x:c r="D23" t="n">
        <x:v>43</x:v>
      </x:c>
      <x:c r="E23" t="n">
        <x:v>56</x:v>
      </x:c>
      <x:c r="F23" t="n">
        <x:v>76.79</x:v>
      </x:c>
      <x:c r="G23" t="n">
        <x:v>3.21</x:v>
      </x:c>
      <x:c r="H23" t="str">
        <x:v>1EF08_P</x:v>
      </x:c>
      <x:c r="I23" t="str">
        <x:v>Ler palavras formadas exclusivamente por sílabas canônicas.</x:v>
      </x:c>
      <x:c r="J23" t="str">
        <x:v>EF02LP04</x:v>
      </x:c>
      <x:c r="K23" t="str">
        <x:v>Ler e escrever corretamente palavras com sílabas CV, V, CVC, CCV, identificando que existem vogais em todas as sílabas.</x:v>
      </x:c>
      <x:c r="L23" t="str">
        <x:v>Associação curricular documentada não demonstra equivalência integral, pré-requisito causal ou domínio individual da BNCC.</x:v>
      </x:c>
      <x:c r="M23" t="str">
        <x:v>mapeamento rastreado</x:v>
      </x:c>
      <x:c r="N23" t="str">
        <x:v>https://drive.google.com/file/d/1n8F2kDfidB84QrJTtrHgbhUHL2G311qV/view</x:v>
      </x:c>
    </x:row>
    <x:row r="24" ht="22" customHeight="1">
      <x:c r="A24" t="n">
        <x:v>2</x:v>
      </x:c>
      <x:c r="B24" t="str">
        <x:v>LEITURA</x:v>
      </x:c>
      <x:c r="C24" t="str">
        <x:v>H 05</x:v>
      </x:c>
      <x:c r="D24" t="n">
        <x:v>41</x:v>
      </x:c>
      <x:c r="E24" t="n">
        <x:v>56</x:v>
      </x:c>
      <x:c r="F24" t="n">
        <x:v>73.21</x:v>
      </x:c>
      <x:c r="G24" t="n">
        <x:v>6.79</x:v>
      </x:c>
      <x:c r="H24" t="str">
        <x:v>1EF09_P</x:v>
      </x:c>
      <x:c r="I24" t="str">
        <x:v>Ler palavras formadas por sílabas não canônicas.</x:v>
      </x:c>
      <x:c r="J24" t="str">
        <x:v>EF02LP04</x:v>
      </x:c>
      <x:c r="K24" t="str">
        <x:v>Ler e escrever corretamente palavras com sílabas CV, V, CVC, CCV, identificando que existem vogais em todas as sílabas.</x:v>
      </x:c>
      <x:c r="L24" t="str">
        <x:v>Associação curricular documentada não demonstra equivalência integral, pré-requisito causal ou domínio individual da BNCC.</x:v>
      </x:c>
      <x:c r="M24" t="str">
        <x:v>mapeamento rastreado</x:v>
      </x:c>
      <x:c r="N24" t="str">
        <x:v>https://drive.google.com/file/d/1n8F2kDfidB84QrJTtrHgbhUHL2G311qV/view</x:v>
      </x:c>
    </x:row>
    <x:row r="25" ht="22" customHeight="1">
      <x:c r="A25" t="n">
        <x:v>2</x:v>
      </x:c>
      <x:c r="B25" t="str">
        <x:v>LEITURA</x:v>
      </x:c>
      <x:c r="C25" t="str">
        <x:v>H 06</x:v>
      </x:c>
      <x:c r="D25" t="n">
        <x:v>42</x:v>
      </x:c>
      <x:c r="E25" t="n">
        <x:v>56</x:v>
      </x:c>
      <x:c r="F25" t="n">
        <x:v>75</x:v>
      </x:c>
      <x:c r="G25" t="n">
        <x:v>5</x:v>
      </x:c>
      <x:c r="H25" t="str">
        <x:v>1EF12_P</x:v>
      </x:c>
      <x:c r="I25" t="str">
        <x:v>Reconhecer o assunto de um texto ouvido.</x:v>
      </x:c>
      <x:c r="J25" t="str">
        <x:v>EF35LP03</x:v>
      </x:c>
      <x:c r="K25" t="str">
        <x:v>Identificar a ideia central do texto, demonstrando compreensão global.</x:v>
      </x:c>
      <x:c r="L25" t="str">
        <x:v>Associação curricular documentada não demonstra equivalência integral, pré-requisito causal ou domínio individual da BNCC.</x:v>
      </x:c>
      <x:c r="M25" t="str">
        <x:v>mapeamento rastreado</x:v>
      </x:c>
      <x:c r="N25" t="str">
        <x:v>https://drive.google.com/file/d/1n8F2kDfidB84QrJTtrHgbhUHL2G311qV/view</x:v>
      </x:c>
    </x:row>
    <x:row r="26" ht="22" customHeight="1">
      <x:c r="A26" t="n">
        <x:v>2</x:v>
      </x:c>
      <x:c r="B26" t="str">
        <x:v>LEITURA</x:v>
      </x:c>
      <x:c r="C26" t="str">
        <x:v>H 07</x:v>
      </x:c>
      <x:c r="D26" t="n">
        <x:v>27</x:v>
      </x:c>
      <x:c r="E26" t="n">
        <x:v>56</x:v>
      </x:c>
      <x:c r="F26" t="n">
        <x:v>48.21</x:v>
      </x:c>
      <x:c r="G26" t="n">
        <x:v>31.79</x:v>
      </x:c>
      <x:c r="H26" t="str">
        <x:v>1EF13_P</x:v>
      </x:c>
      <x:c r="I26" t="str">
        <x:v>Inferir informação em texto que articula linguagem verbal e não verbal.</x:v>
      </x:c>
      <x:c r="J26" t="str">
        <x:v>EF15LP14</x:v>
      </x:c>
      <x:c r="K26" t="str">
        <x:v>Construir o sentido de histórias em quadrinhos e tirinhas, relacionando imagens e palavras e interpretando recursos gráficos (tipos de balões, de letras, onomatopeias).</x:v>
      </x:c>
      <x:c r="L26" t="str">
        <x:v>Associação curricular documentada não demonstra equivalência integral, pré-requisito causal ou domínio individual da BNCC.</x:v>
      </x:c>
      <x:c r="M26" t="str">
        <x:v>mapeamento rastreado</x:v>
      </x:c>
      <x:c r="N26" t="str">
        <x:v>https://drive.google.com/file/d/1n8F2kDfidB84QrJTtrHgbhUHL2G311qV/view</x:v>
      </x:c>
    </x:row>
    <x:row r="27" ht="22" customHeight="1">
      <x:c r="A27" t="n">
        <x:v>2</x:v>
      </x:c>
      <x:c r="B27" t="str">
        <x:v>LEITURA</x:v>
      </x:c>
      <x:c r="C27" t="str">
        <x:v>H 08</x:v>
      </x:c>
      <x:c r="D27" t="n">
        <x:v>32</x:v>
      </x:c>
      <x:c r="E27" t="n">
        <x:v>56</x:v>
      </x:c>
      <x:c r="F27" t="n">
        <x:v>57.14</x:v>
      </x:c>
      <x:c r="G27" t="n">
        <x:v>22.86</x:v>
      </x:c>
      <x:c r="H27" t="str">
        <x:v>1EF14_P</x:v>
      </x:c>
      <x:c r="I27" t="str">
        <x:v>Reconhecer o gênero de um texto que circula no campo de atuação da vida cotidiana.</x:v>
      </x:c>
      <x:c r="J27" t="str">
        <x:v>EF15LP02</x:v>
      </x:c>
      <x:c r="K27" t="str">
        <x:v>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x:v>
      </x:c>
      <x:c r="L27" t="str">
        <x:v>Associação curricular documentada não demonstra equivalência integral, pré-requisito causal ou domínio individual da BNCC.</x:v>
      </x:c>
      <x:c r="M27" t="str">
        <x:v>mapeamento rastreado</x:v>
      </x:c>
      <x:c r="N27" t="str">
        <x:v>https://drive.google.com/file/d/1n8F2kDfidB84QrJTtrHgbhUHL2G311qV/view</x:v>
      </x:c>
    </x:row>
    <x:row r="28" ht="22" customHeight="1">
      <x:c r="A28" t="n">
        <x:v>2</x:v>
      </x:c>
      <x:c r="B28" t="str">
        <x:v>LEITURA</x:v>
      </x:c>
      <x:c r="C28" t="str">
        <x:v>H 09</x:v>
      </x:c>
      <x:c r="D28" t="n">
        <x:v>48</x:v>
      </x:c>
      <x:c r="E28" t="n">
        <x:v>56</x:v>
      </x:c>
      <x:c r="F28" t="n">
        <x:v>85.71</x:v>
      </x:c>
      <x:c r="G28" t="n">
        <x:v>-5.71</x:v>
      </x:c>
      <x:c r="H28" t="str">
        <x:v>2EF06_P</x:v>
      </x:c>
      <x:c r="I28" t="str">
        <x:v>Ler frases (ordem direta, estrutura canônica: sujeito, verbo, objeto - mais de um complemento).</x:v>
      </x:c>
      <x:c r="J28" t="str">
        <x:v>EF01LP02</x:v>
      </x:c>
      <x:c r="K28" t="str">
        <x:v>Escrever, espontaneamente ou por ditado, palavras e frases de forma alfabética – usando letras/grafemas que representem fonemas.</x:v>
      </x:c>
      <x:c r="L28" t="str">
        <x:v>O descritor CAEd trata de ler frases; o texto BNCC trata de escrever palavras/frases. Associação publicada preservada com ressalva semântica.</x:v>
      </x:c>
      <x:c r="M28" t="str">
        <x:v>mapeamento rastreado</x:v>
      </x:c>
      <x:c r="N28" t="str">
        <x:v>https://drive.google.com/file/d/1n8F2kDfidB84QrJTtrHgbhUHL2G311qV/view</x:v>
      </x:c>
    </x:row>
    <x:row r="29" ht="22" customHeight="1">
      <x:c r="A29" t="n">
        <x:v>2</x:v>
      </x:c>
      <x:c r="B29" t="str">
        <x:v>LEITURA</x:v>
      </x:c>
      <x:c r="C29" t="str">
        <x:v>H 10</x:v>
      </x:c>
      <x:c r="D29" t="n">
        <x:v>44</x:v>
      </x:c>
      <x:c r="E29" t="n">
        <x:v>56</x:v>
      </x:c>
      <x:c r="F29" t="n">
        <x:v>78.57</x:v>
      </x:c>
      <x:c r="G29" t="n">
        <x:v>1.43</x:v>
      </x:c>
      <x:c r="H29" t="str">
        <x:v>2EF07_P</x:v>
      </x:c>
      <x:c r="I29" t="str">
        <x:v>Localizar informações explícitas em textos, recuperadas por meio de repetição.</x:v>
      </x:c>
      <x:c r="J29" t="str">
        <x:v>EF15LP03</x:v>
      </x:c>
      <x:c r="K29" t="str">
        <x:v>Localizar informações explícitas em textos.</x:v>
      </x:c>
      <x:c r="L29" t="str">
        <x:v>Associação curricular documentada não demonstra equivalência integral, pré-requisito causal ou domínio individual da BNCC.</x:v>
      </x:c>
      <x:c r="M29" t="str">
        <x:v>mapeamento rastreado</x:v>
      </x:c>
      <x:c r="N29" t="str">
        <x:v>https://drive.google.com/file/d/1n8F2kDfidB84QrJTtrHgbhUHL2G311qV/view</x:v>
      </x:c>
    </x:row>
    <x:row r="30" ht="22" customHeight="1">
      <x:c r="A30" t="n">
        <x:v>2</x:v>
      </x:c>
      <x:c r="B30" t="str">
        <x:v>LEITURA</x:v>
      </x:c>
      <x:c r="C30" t="str">
        <x:v>H 11</x:v>
      </x:c>
      <x:c r="D30" t="n">
        <x:v>43</x:v>
      </x:c>
      <x:c r="E30" t="n">
        <x:v>56</x:v>
      </x:c>
      <x:c r="F30" t="n">
        <x:v>76.79</x:v>
      </x:c>
      <x:c r="G30" t="n">
        <x:v>3.21</x:v>
      </x:c>
      <x:c r="H30" t="str">
        <x:v>2EF10_P</x:v>
      </x:c>
      <x:c r="I30" t="str">
        <x:v>Reconhecer o assunto de um texto quando o assunto está indicado no título.</x:v>
      </x:c>
      <x:c r="J30" t="str">
        <x:v>EF35LP03</x:v>
      </x:c>
      <x:c r="K30" t="str">
        <x:v>Identificar a ideia central do texto, demonstrando compreensão global.</x:v>
      </x:c>
      <x:c r="L30" t="str">
        <x:v>Associação curricular documentada não demonstra equivalência integral, pré-requisito causal ou domínio individual da BNCC.</x:v>
      </x:c>
      <x:c r="M30" t="str">
        <x:v>mapeamento rastreado</x:v>
      </x:c>
      <x:c r="N30" t="str">
        <x:v>https://drive.google.com/file/d/1n8F2kDfidB84QrJTtrHgbhUHL2G311qV/view</x:v>
      </x:c>
    </x:row>
    <x:row r="31" ht="22" customHeight="1">
      <x:c r="A31" t="n">
        <x:v>2</x:v>
      </x:c>
      <x:c r="B31" t="str">
        <x:v>LEITURA</x:v>
      </x:c>
      <x:c r="C31"/>
      <x:c r="D31" t="n">
        <x:v>425</x:v>
      </x:c>
      <x:c r="E31" t="n">
        <x:v>616</x:v>
      </x:c>
      <x:c r="F31" t="n">
        <x:v>68.99</x:v>
      </x:c>
      <x:c r="G31" t="n">
        <x:v>11.01</x:v>
      </x:c>
      <x:c r="H31" t="str"/>
      <x:c r="I31" t="str"/>
      <x:c r="J31" t="str"/>
      <x:c r="K31" t="str"/>
      <x:c r="L31" t="str"/>
      <x:c r="M31" t="str">
        <x:v>sem vínculo validado</x:v>
      </x:c>
      <x:c r="N31" t="str">
        <x:v>https://drive.google.com/file/d/1n8F2kDfidB84QrJTtrHgbhUHL2G311qV/view</x:v>
      </x:c>
    </x:row>
    <x:row r="32" ht="22" customHeight="1">
      <x:c r="A32" t="n">
        <x:v>2</x:v>
      </x:c>
      <x:c r="B32" t="str">
        <x:v>MATEMATICA</x:v>
      </x:c>
      <x:c r="C32" t="str">
        <x:v>H 01</x:v>
      </x:c>
      <x:c r="D32" t="n">
        <x:v>42</x:v>
      </x:c>
      <x:c r="E32" t="n">
        <x:v>56</x:v>
      </x:c>
      <x:c r="F32" t="n">
        <x:v>75</x:v>
      </x:c>
      <x:c r="G32" t="n">
        <x:v>5</x:v>
      </x:c>
      <x:c r="H32" t="str">
        <x:v>1EF07_M</x:v>
      </x:c>
      <x:c r="I32" t="str">
        <x:v>Determinar termos ausentes em sequências de figuras.</x:v>
      </x:c>
      <x:c r="J32" t="str">
        <x:v>EF01MA10</x:v>
      </x:c>
      <x:c r="K32" t="str">
        <x:v>Descrever, após o reconhecimento e a explicitação de um padrão (ou regularidade), os elementos ausentes em sequências recursivas de números naturais, objetos ou figuras.</x:v>
      </x:c>
      <x:c r="L32" t="str">
        <x:v>Associação curricular documentada não demonstra equivalência integral, pré-requisito causal ou domínio individual da BNCC.</x:v>
      </x:c>
      <x:c r="M32" t="str">
        <x:v>mapeamento rastreado</x:v>
      </x:c>
      <x:c r="N32" t="str">
        <x:v>https://drive.google.com/file/d/1n8F2kDfidB84QrJTtrHgbhUHL2G311qV/view</x:v>
      </x:c>
    </x:row>
    <x:row r="33" ht="22" customHeight="1">
      <x:c r="A33" t="n">
        <x:v>2</x:v>
      </x:c>
      <x:c r="B33" t="str">
        <x:v>MATEMATICA</x:v>
      </x:c>
      <x:c r="C33" t="str">
        <x:v>H 02</x:v>
      </x:c>
      <x:c r="D33" t="n">
        <x:v>43</x:v>
      </x:c>
      <x:c r="E33" t="n">
        <x:v>56</x:v>
      </x:c>
      <x:c r="F33" t="n">
        <x:v>76.79</x:v>
      </x:c>
      <x:c r="G33" t="n">
        <x:v>3.21</x:v>
      </x:c>
      <x:c r="H33" t="str">
        <x:v>1EF10_M</x:v>
      </x:c>
      <x:c r="I33" t="str">
        <x:v>Reconhecer figuras geométricas planas (círculo, quadrado, retângulo ou triângulo) desenhadas em diferentes disposições.</x:v>
      </x:c>
      <x:c r="J33" t="str">
        <x:v>EF01MA14</x:v>
      </x:c>
      <x:c r="K33" t="str">
        <x:v>Identificar e nomear figuras planas (círculo, quadrado, retângulo e triângulo) em desenhos apresentados em diferentes disposições ou em contornos de faces de sólidos geométricos.</x:v>
      </x:c>
      <x:c r="L33" t="str">
        <x:v>Associação curricular documentada não demonstra equivalência integral, pré-requisito causal ou domínio individual da BNCC.</x:v>
      </x:c>
      <x:c r="M33" t="str">
        <x:v>mapeamento rastreado</x:v>
      </x:c>
      <x:c r="N33" t="str">
        <x:v>https://drive.google.com/file/d/1n8F2kDfidB84QrJTtrHgbhUHL2G311qV/view</x:v>
      </x:c>
    </x:row>
    <x:row r="34" ht="22" customHeight="1">
      <x:c r="A34" t="n">
        <x:v>2</x:v>
      </x:c>
      <x:c r="B34" t="str">
        <x:v>MATEMATICA</x:v>
      </x:c>
      <x:c r="C34" t="str">
        <x:v>H 03</x:v>
      </x:c>
      <x:c r="D34" t="n">
        <x:v>48</x:v>
      </x:c>
      <x:c r="E34" t="n">
        <x:v>56</x:v>
      </x:c>
      <x:c r="F34" t="n">
        <x:v>85.71</x:v>
      </x:c>
      <x:c r="G34" t="n">
        <x:v>-5.71</x:v>
      </x:c>
      <x:c r="H34" t="str">
        <x:v>1EF12_M</x:v>
      </x:c>
      <x:c r="I34" t="str">
        <x:v>Reconhecer valores convencionados de moedas ou de cédulas do sistema monetário brasileiro, em situações do cotidiano.</x:v>
      </x:c>
      <x:c r="J34" t="str">
        <x:v>EF01MA19</x:v>
      </x:c>
      <x:c r="K34" t="str">
        <x:v>Reconhecer e relacionar valores de moedas e cédulas do sistema monetário brasileiro para resolver situações simples do cotidiano do estudante.</x:v>
      </x:c>
      <x:c r="L34" t="str">
        <x:v>Associação curricular documentada não demonstra equivalência integral, pré-requisito causal ou domínio individual da BNCC.</x:v>
      </x:c>
      <x:c r="M34" t="str">
        <x:v>mapeamento rastreado</x:v>
      </x:c>
      <x:c r="N34" t="str">
        <x:v>https://drive.google.com/file/d/1n8F2kDfidB84QrJTtrHgbhUHL2G311qV/view</x:v>
      </x:c>
    </x:row>
    <x:row r="35" ht="22" customHeight="1">
      <x:c r="A35" t="n">
        <x:v>2</x:v>
      </x:c>
      <x:c r="B35" t="str">
        <x:v>MATEMATICA</x:v>
      </x:c>
      <x:c r="C35" t="str">
        <x:v>H 04</x:v>
      </x:c>
      <x:c r="D35" t="n">
        <x:v>39</x:v>
      </x:c>
      <x:c r="E35" t="n">
        <x:v>56</x:v>
      </x:c>
      <x:c r="F35" t="n">
        <x:v>69.64</x:v>
      </x:c>
      <x:c r="G35" t="n">
        <x:v>10.36</x:v>
      </x:c>
      <x:c r="H35" t="str">
        <x:v>1EF13_M</x:v>
      </x:c>
      <x:c r="I35" t="str">
        <x:v>Identificar dados estatísticos dispostos em tabelas simples, em gráficos de colunas ou de barras simples.</x:v>
      </x:c>
      <x:c r="J35" t="str">
        <x:v>EF01MA21</x:v>
      </x:c>
      <x:c r="K35" t="str">
        <x:v>Ler dados expressos em tabelas e em gráficos de colunas simples.</x:v>
      </x:c>
      <x:c r="L35" t="str">
        <x:v>Associação curricular documentada não demonstra equivalência integral, pré-requisito causal ou domínio individual da BNCC.</x:v>
      </x:c>
      <x:c r="M35" t="str">
        <x:v>mapeamento rastreado</x:v>
      </x:c>
      <x:c r="N35" t="str">
        <x:v>https://drive.google.com/file/d/1n8F2kDfidB84QrJTtrHgbhUHL2G311qV/view</x:v>
      </x:c>
    </x:row>
    <x:row r="36" ht="22" customHeight="1">
      <x:c r="A36" t="n">
        <x:v>2</x:v>
      </x:c>
      <x:c r="B36" t="str">
        <x:v>MATEMATICA</x:v>
      </x:c>
      <x:c r="C36" t="str">
        <x:v>H 05</x:v>
      </x:c>
      <x:c r="D36" t="n">
        <x:v>40</x:v>
      </x:c>
      <x:c r="E36" t="n">
        <x:v>56</x:v>
      </x:c>
      <x:c r="F36" t="n">
        <x:v>71.43</x:v>
      </x:c>
      <x:c r="G36" t="n">
        <x:v>8.57</x:v>
      </x:c>
      <x:c r="H36" t="str">
        <x:v>2EF01_M</x:v>
      </x:c>
      <x:c r="I36" t="str">
        <x:v>Contar a quantidade de objetos de uma coleção contendo até 50 elementos, apresentando o resultado em registro numérico.</x:v>
      </x:c>
      <x:c r="J36" t="str">
        <x:v>EF01MA04, EF02MA02</x:v>
      </x:c>
      <x:c r="K36" t="str">
        <x:v>Contar a quantidade de objetos de coleções até 100 unidades e apresentar o resultado por registros verbais e simbólicos, em situações de seu interesse, como jogos, brincadeiras, materiais da sala de aula, entre outros. | Fazer estimativas por meio de estratégias diversas a respeito da quantidade de objetos de coleções e registrar o resultado da contagem desses objetos (até 1000 unidades).</x:v>
      </x:c>
      <x:c r="L36" t="str">
        <x:v>Associação curricular documentada não demonstra equivalência integral, pré-requisito causal ou domínio individual da BNCC.</x:v>
      </x:c>
      <x:c r="M36" t="str">
        <x:v>mapeamento rastreado</x:v>
      </x:c>
      <x:c r="N36" t="str">
        <x:v>https://drive.google.com/file/d/1n8F2kDfidB84QrJTtrHgbhUHL2G311qV/view</x:v>
      </x:c>
    </x:row>
    <x:row r="37" ht="22" customHeight="1">
      <x:c r="A37" t="n">
        <x:v>2</x:v>
      </x:c>
      <x:c r="B37" t="str">
        <x:v>MATEMATICA</x:v>
      </x:c>
      <x:c r="C37" t="str">
        <x:v>H 06</x:v>
      </x:c>
      <x:c r="D37" t="n">
        <x:v>23</x:v>
      </x:c>
      <x:c r="E37" t="n">
        <x:v>56</x:v>
      </x:c>
      <x:c r="F37" t="n">
        <x:v>41.07</x:v>
      </x:c>
      <x:c r="G37" t="n">
        <x:v>38.93</x:v>
      </x:c>
      <x:c r="H37" t="str">
        <x:v>2EF02_M</x:v>
      </x:c>
      <x:c r="I37" t="str">
        <x:v>Comparar quantidades de objetos de duas coleções, contendo até 50 elementos cada, com suporte de imagens, indicando qual tem mais objetos e quantos a mais, qual tem menos objetos e quantos a menos ou se têm a mesma quantidade de objetos e qual é essa quantidade.</x:v>
      </x:c>
      <x:c r="J37" t="str">
        <x:v>EF01MA03, EF02MA03</x:v>
      </x:c>
      <x:c r="K37" t="str">
        <x:v>Estimar e comparar quantidades de objetos de dois conjuntos (em torno de 20 elementos), por estimativa e/ou por correspondência (um a um, dois a dois) para indicar “tem mais”, “tem menos” ou “tem a mesma quantidade”. | Comparar quantidades de objetos de dois conjuntos, por estimativa e/ou por correspondência (um a um, dois a dois, entre outros), para indicar “tem mais”, “tem menos” ou “tem a mesma quantidade”, indica</x:v>
      </x:c>
      <x:c r="L37" t="str">
        <x:v>Associação curricular documentada não demonstra equivalência integral, pré-requisito causal ou domínio individual da BNCC.</x:v>
      </x:c>
      <x:c r="M37" t="str">
        <x:v>mapeamento rastreado</x:v>
      </x:c>
      <x:c r="N37" t="str">
        <x:v>https://drive.google.com/file/d/1n8F2kDfidB84QrJTtrHgbhUHL2G311qV/view</x:v>
      </x:c>
    </x:row>
    <x:row r="38" ht="22" customHeight="1">
      <x:c r="A38" t="n">
        <x:v>2</x:v>
      </x:c>
      <x:c r="B38" t="str">
        <x:v>MATEMATICA</x:v>
      </x:c>
      <x:c r="C38" t="str">
        <x:v>H 07</x:v>
      </x:c>
      <x:c r="D38" t="n">
        <x:v>31</x:v>
      </x:c>
      <x:c r="E38" t="n">
        <x:v>56</x:v>
      </x:c>
      <x:c r="F38" t="n">
        <x:v>55.36</x:v>
      </x:c>
      <x:c r="G38" t="n">
        <x:v>24.64</x:v>
      </x:c>
      <x:c r="H38" t="str">
        <x:v>2EF03_M</x:v>
      </x:c>
      <x:c r="I38" t="str">
        <x:v>Comparar números naturais formados por até três algarismos, indicando o menor, o maior, a ordenação crescente ou a decrescente deles.</x:v>
      </x:c>
      <x:c r="J38" t="str">
        <x:v>EF01MA05, EF02MA01</x:v>
      </x:c>
      <x:c r="K38" t="str">
        <x:v>Comparar números naturais de até duas ordens em situações cotidianas, com e sem suporte da reta numérica. | Comparar e ordenar números naturais (até a ordem de centenas) pela compreensão de características do sistema de numeração decimal (valor posicional e função do zero).</x:v>
      </x:c>
      <x:c r="L38" t="str">
        <x:v>Associação curricular documentada não demonstra equivalência integral, pré-requisito causal ou domínio individual da BNCC.</x:v>
      </x:c>
      <x:c r="M38" t="str">
        <x:v>mapeamento rastreado</x:v>
      </x:c>
      <x:c r="N38" t="str">
        <x:v>https://drive.google.com/file/d/1n8F2kDfidB84QrJTtrHgbhUHL2G311qV/view</x:v>
      </x:c>
    </x:row>
    <x:row r="39" ht="22" customHeight="1">
      <x:c r="A39" t="n">
        <x:v>2</x:v>
      </x:c>
      <x:c r="B39" t="str">
        <x:v>MATEMATICA</x:v>
      </x:c>
      <x:c r="C39" t="str">
        <x:v>H 08</x:v>
      </x:c>
      <x:c r="D39" t="n">
        <x:v>39</x:v>
      </x:c>
      <x:c r="E39" t="n">
        <x:v>56</x:v>
      </x:c>
      <x:c r="F39" t="n">
        <x:v>69.64</x:v>
      </x:c>
      <x:c r="G39" t="n">
        <x:v>10.36</x:v>
      </x:c>
      <x:c r="H39" t="str">
        <x:v>2EF05_M</x:v>
      </x:c>
      <x:c r="I39" t="str">
        <x:v>Utilizar a operação de adição entre números naturais, formados por até três algarismos, envolvendo o significado de juntar ou de acrescentar, com ou sem suporte de imagens, na resolução de problema.</x:v>
      </x:c>
      <x:c r="J39" t="str">
        <x:v>EF01MA08, EF02MA06</x:v>
      </x:c>
      <x:c r="K39" t="str">
        <x:v>Resolver e elaborar problemas de adição e de subtração, envolvendo números de até dois algarismos, com os significados de juntar, acrescentar, separar e retirar, com o suporte de imagens e/ou material manipulável, utilizando estratégias e formas de registro pessoais. | Resolver e elaborar problemas de adição e de subtração, envolvendo números de até três ordens, com os significados de juntar, acrescentar, separar, re</x:v>
      </x:c>
      <x:c r="L39" t="str">
        <x:v>Associação curricular documentada não demonstra equivalência integral, pré-requisito causal ou domínio individual da BNCC.</x:v>
      </x:c>
      <x:c r="M39" t="str">
        <x:v>mapeamento rastreado</x:v>
      </x:c>
      <x:c r="N39" t="str">
        <x:v>https://drive.google.com/file/d/1n8F2kDfidB84QrJTtrHgbhUHL2G311qV/view</x:v>
      </x:c>
    </x:row>
    <x:row r="40" ht="22" customHeight="1">
      <x:c r="A40" t="n">
        <x:v>2</x:v>
      </x:c>
      <x:c r="B40" t="str">
        <x:v>MATEMATICA</x:v>
      </x:c>
      <x:c r="C40" t="str">
        <x:v>H 09</x:v>
      </x:c>
      <x:c r="D40" t="n">
        <x:v>35</x:v>
      </x:c>
      <x:c r="E40" t="n">
        <x:v>56</x:v>
      </x:c>
      <x:c r="F40" t="n">
        <x:v>62.5</x:v>
      </x:c>
      <x:c r="G40" t="n">
        <x:v>17.5</x:v>
      </x:c>
      <x:c r="H40" t="str">
        <x:v>2EF06_M</x:v>
      </x:c>
      <x:c r="I40" t="str">
        <x:v>Utilizar a operação de subtração entre números naturais, formados por até três algarismos, envolvendo o significado de separar ou de retirar, com ou sem suporte de imagens, na resolução de problema.</x:v>
      </x:c>
      <x:c r="J40" t="str">
        <x:v>EF01MA08, EF02MA06</x:v>
      </x:c>
      <x:c r="K40" t="str">
        <x:v>Resolver e elaborar problemas de adição e de subtração, envolvendo números de até dois algarismos, com os significados de juntar, acrescentar, separar e retirar, com o suporte de imagens e/ou material manipulável, utilizando estratégias e formas de registro pessoais. | Resolver e elaborar problemas de adição e de subtração, envolvendo números de até três ordens, com os significados de juntar, acrescentar, separar, re</x:v>
      </x:c>
      <x:c r="L40" t="str">
        <x:v>Associação curricular documentada não demonstra equivalência integral, pré-requisito causal ou domínio individual da BNCC.</x:v>
      </x:c>
      <x:c r="M40" t="str">
        <x:v>mapeamento rastreado</x:v>
      </x:c>
      <x:c r="N40" t="str">
        <x:v>https://drive.google.com/file/d/1n8F2kDfidB84QrJTtrHgbhUHL2G311qV/view</x:v>
      </x:c>
    </x:row>
    <x:row r="41" ht="22" customHeight="1">
      <x:c r="A41" t="n">
        <x:v>2</x:v>
      </x:c>
      <x:c r="B41" t="str">
        <x:v>MATEMATICA</x:v>
      </x:c>
      <x:c r="C41" t="str">
        <x:v>H 10</x:v>
      </x:c>
      <x:c r="D41" t="n">
        <x:v>40</x:v>
      </x:c>
      <x:c r="E41" t="n">
        <x:v>56</x:v>
      </x:c>
      <x:c r="F41" t="n">
        <x:v>71.43</x:v>
      </x:c>
      <x:c r="G41" t="n">
        <x:v>8.57</x:v>
      </x:c>
      <x:c r="H41" t="str">
        <x:v>2EF08_M</x:v>
      </x:c>
      <x:c r="I41" t="str">
        <x:v>Interpretar localização de pessoas, animais ou objetos no espaço, considerando um ou mais de um ponto de referência e noções de orientação (à direita, à esquerda, em frente, atrás, em cima e/ou embaixo).</x:v>
      </x:c>
      <x:c r="J41" t="str">
        <x:v>EF01MA12, EF02MA12</x:v>
      </x:c>
      <x:c r="K41" t="str">
        <x:v>Descrever a localização de pessoas e de objetos no espaço segundo um dado ponto de referência, compreendendo que, para a utilização de termos que se referem à posição, como direita, esquerda, em cima, em baixo, é necessário explicitar-se o referencial. | Identificar e registrar, em linguagem verbal ou não verbal, a localização e os deslocamentos de pessoas e de objetos no espaço, considerando mais de um ponto de refe</x:v>
      </x:c>
      <x:c r="L41" t="str">
        <x:v>Associação curricular documentada não demonstra equivalência integral, pré-requisito causal ou domínio individual da BNCC.</x:v>
      </x:c>
      <x:c r="M41" t="str">
        <x:v>mapeamento rastreado</x:v>
      </x:c>
      <x:c r="N41" t="str">
        <x:v>https://drive.google.com/file/d/1n8F2kDfidB84QrJTtrHgbhUHL2G311qV/view</x:v>
      </x:c>
    </x:row>
    <x:row r="42" ht="22" customHeight="1">
      <x:c r="A42" t="n">
        <x:v>2</x:v>
      </x:c>
      <x:c r="B42" t="str">
        <x:v>MATEMATICA</x:v>
      </x:c>
      <x:c r="C42" t="str">
        <x:v>H 11</x:v>
      </x:c>
      <x:c r="D42" t="n">
        <x:v>47</x:v>
      </x:c>
      <x:c r="E42" t="n">
        <x:v>56</x:v>
      </x:c>
      <x:c r="F42" t="n">
        <x:v>83.93</x:v>
      </x:c>
      <x:c r="G42" t="n">
        <x:v>-3.93</x:v>
      </x:c>
      <x:c r="H42" t="str">
        <x:v>2EF09_M</x:v>
      </x:c>
      <x:c r="I42" t="str">
        <x:v>Reconhecer figura geométrica espacial (cone, cilindro, esfera, cubo, bloco retangular ou pirâmide) em objetos do mundo físico, pela sua forma ou sua denominação.</x:v>
      </x:c>
      <x:c r="J42" t="str">
        <x:v>EF01MA13, EF02MA14</x:v>
      </x:c>
      <x:c r="K42" t="str">
        <x:v>Relacionar figuras geométricas espaciais (cones, cilindros, esferas e blocos retangulares) a objetos familiares do mundo físico. | Reconhecer, nomear e comparar figuras geométricas espaciais (cubo, bloco retangular, pirâmide, cone, cilindro e esfera), relacionando-as com objetos do mundo físico.</x:v>
      </x:c>
      <x:c r="L42" t="str">
        <x:v>Associação curricular documentada não demonstra equivalência integral, pré-requisito causal ou domínio individual da BNCC.</x:v>
      </x:c>
      <x:c r="M42" t="str">
        <x:v>mapeamento rastreado</x:v>
      </x:c>
      <x:c r="N42" t="str">
        <x:v>https://drive.google.com/file/d/1n8F2kDfidB84QrJTtrHgbhUHL2G311qV/view</x:v>
      </x:c>
    </x:row>
    <x:row r="43" ht="22" customHeight="1">
      <x:c r="A43" t="n">
        <x:v>2</x:v>
      </x:c>
      <x:c r="B43" t="str">
        <x:v>MATEMATICA</x:v>
      </x:c>
      <x:c r="C43"/>
      <x:c r="D43" t="n">
        <x:v>427</x:v>
      </x:c>
      <x:c r="E43" t="n">
        <x:v>616</x:v>
      </x:c>
      <x:c r="F43" t="n">
        <x:v>69.32</x:v>
      </x:c>
      <x:c r="G43" t="n">
        <x:v>10.68</x:v>
      </x:c>
      <x:c r="H43" t="str"/>
      <x:c r="I43" t="str"/>
      <x:c r="J43" t="str"/>
      <x:c r="K43" t="str"/>
      <x:c r="L43" t="str"/>
      <x:c r="M43" t="str">
        <x:v>sem vínculo validado</x:v>
      </x:c>
      <x:c r="N43" t="str">
        <x:v>https://drive.google.com/file/d/1n8F2kDfidB84QrJTtrHgbhUHL2G311qV/view</x:v>
      </x:c>
    </x:row>
    <x:row r="44" ht="22" customHeight="1">
      <x:c r="A44" t="n">
        <x:v>3</x:v>
      </x:c>
      <x:c r="B44" t="str">
        <x:v>LEITURA</x:v>
      </x:c>
      <x:c r="C44" t="str">
        <x:v>H 01</x:v>
      </x:c>
      <x:c r="D44" t="n">
        <x:v>44</x:v>
      </x:c>
      <x:c r="E44" t="n">
        <x:v>48</x:v>
      </x:c>
      <x:c r="F44" t="n">
        <x:v>91.67</x:v>
      </x:c>
      <x:c r="G44" t="n">
        <x:v>-11.67</x:v>
      </x:c>
      <x:c r="H44" t="str">
        <x:v>1EF08_P</x:v>
      </x:c>
      <x:c r="I44" t="str">
        <x:v>Ler palavras formadas exclusivamente por sílabas canônicas.</x:v>
      </x:c>
      <x:c r="J44" t="str">
        <x:v>EF02LP04</x:v>
      </x:c>
      <x:c r="K44" t="str">
        <x:v>Ler e escrever corretamente palavras com sílabas CV, V, CVC, CCV, identificando que existem vogais em todas as sílabas.</x:v>
      </x:c>
      <x:c r="L44" t="str">
        <x:v>Associação curricular documentada não demonstra equivalência integral, pré-requisito causal ou domínio individual da BNCC.</x:v>
      </x:c>
      <x:c r="M44" t="str">
        <x:v>mapeamento rastreado</x:v>
      </x:c>
      <x:c r="N44" t="str">
        <x:v>https://drive.google.com/file/d/1n8F2kDfidB84QrJTtrHgbhUHL2G311qV/view</x:v>
      </x:c>
    </x:row>
    <x:row r="45" ht="22" customHeight="1">
      <x:c r="A45" t="n">
        <x:v>3</x:v>
      </x:c>
      <x:c r="B45" t="str">
        <x:v>LEITURA</x:v>
      </x:c>
      <x:c r="C45" t="str">
        <x:v>H 02</x:v>
      </x:c>
      <x:c r="D45" t="n">
        <x:v>46</x:v>
      </x:c>
      <x:c r="E45" t="n">
        <x:v>48</x:v>
      </x:c>
      <x:c r="F45" t="n">
        <x:v>95.83</x:v>
      </x:c>
      <x:c r="G45" t="n">
        <x:v>-15.83</x:v>
      </x:c>
      <x:c r="H45" t="str">
        <x:v>1EF09_P</x:v>
      </x:c>
      <x:c r="I45" t="str">
        <x:v>Ler palavras formadas por sílabas não canônicas.</x:v>
      </x:c>
      <x:c r="J45" t="str">
        <x:v>EF02LP04</x:v>
      </x:c>
      <x:c r="K45" t="str">
        <x:v>Ler e escrever corretamente palavras com sílabas CV, V, CVC, CCV, identificando que existem vogais em todas as sílabas.</x:v>
      </x:c>
      <x:c r="L45" t="str">
        <x:v>Associação curricular documentada não demonstra equivalência integral, pré-requisito causal ou domínio individual da BNCC.</x:v>
      </x:c>
      <x:c r="M45" t="str">
        <x:v>mapeamento rastreado</x:v>
      </x:c>
      <x:c r="N45" t="str">
        <x:v>https://drive.google.com/file/d/1n8F2kDfidB84QrJTtrHgbhUHL2G311qV/view</x:v>
      </x:c>
    </x:row>
    <x:row r="46" ht="22" customHeight="1">
      <x:c r="A46" t="n">
        <x:v>3</x:v>
      </x:c>
      <x:c r="B46" t="str">
        <x:v>LEITURA</x:v>
      </x:c>
      <x:c r="C46" t="str">
        <x:v>H 03</x:v>
      </x:c>
      <x:c r="D46" t="n">
        <x:v>33</x:v>
      </x:c>
      <x:c r="E46" t="n">
        <x:v>48</x:v>
      </x:c>
      <x:c r="F46" t="n">
        <x:v>68.75</x:v>
      </x:c>
      <x:c r="G46" t="n">
        <x:v>11.25</x:v>
      </x:c>
      <x:c r="H46" t="str">
        <x:v>1EF13_P</x:v>
      </x:c>
      <x:c r="I46" t="str">
        <x:v>Inferir informação em texto que articula linguagem verbal e não verbal.</x:v>
      </x:c>
      <x:c r="J46" t="str">
        <x:v>EF15LP14</x:v>
      </x:c>
      <x:c r="K46" t="str">
        <x:v>Construir o sentido de histórias em quadrinhos e tirinhas, relacionando imagens e palavras e interpretando recursos gráficos (tipos de balões, de letras, onomatopeias).</x:v>
      </x:c>
      <x:c r="L46" t="str">
        <x:v>Associação curricular documentada não demonstra equivalência integral, pré-requisito causal ou domínio individual da BNCC.</x:v>
      </x:c>
      <x:c r="M46" t="str">
        <x:v>mapeamento rastreado</x:v>
      </x:c>
      <x:c r="N46" t="str">
        <x:v>https://drive.google.com/file/d/1n8F2kDfidB84QrJTtrHgbhUHL2G311qV/view</x:v>
      </x:c>
    </x:row>
    <x:row r="47" ht="22" customHeight="1">
      <x:c r="A47" t="n">
        <x:v>3</x:v>
      </x:c>
      <x:c r="B47" t="str">
        <x:v>LEITURA</x:v>
      </x:c>
      <x:c r="C47" t="str">
        <x:v>H 04</x:v>
      </x:c>
      <x:c r="D47" t="n">
        <x:v>45</x:v>
      </x:c>
      <x:c r="E47" t="n">
        <x:v>48</x:v>
      </x:c>
      <x:c r="F47" t="n">
        <x:v>93.75</x:v>
      </x:c>
      <x:c r="G47" t="n">
        <x:v>-13.75</x:v>
      </x:c>
      <x:c r="H47" t="str">
        <x:v>1EF15_P</x:v>
      </x:c>
      <x:c r="I47" t="str">
        <x:v>Identificar a finalidade de um texto do campo de atuação da vida cotidiana.</x:v>
      </x:c>
      <x:c r="J47" t="str">
        <x:v>EF15LP01</x:v>
      </x:c>
      <x:c r="K47" t="str">
        <x:v>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x:v>
      </x:c>
      <x:c r="L47" t="str">
        <x:v>Associação curricular documentada não demonstra equivalência integral, pré-requisito causal ou domínio individual da BNCC.</x:v>
      </x:c>
      <x:c r="M47" t="str">
        <x:v>mapeamento rastreado</x:v>
      </x:c>
      <x:c r="N47" t="str">
        <x:v>https://drive.google.com/file/d/1n8F2kDfidB84QrJTtrHgbhUHL2G311qV/view</x:v>
      </x:c>
    </x:row>
    <x:row r="48" ht="22" customHeight="1">
      <x:c r="A48" t="n">
        <x:v>3</x:v>
      </x:c>
      <x:c r="B48" t="str">
        <x:v>LEITURA</x:v>
      </x:c>
      <x:c r="C48" t="str">
        <x:v>H 05</x:v>
      </x:c>
      <x:c r="D48" t="n">
        <x:v>32</x:v>
      </x:c>
      <x:c r="E48" t="n">
        <x:v>48</x:v>
      </x:c>
      <x:c r="F48" t="n">
        <x:v>66.67</x:v>
      </x:c>
      <x:c r="G48" t="n">
        <x:v>13.33</x:v>
      </x:c>
      <x:c r="H48" t="str">
        <x:v>2EF08_P</x:v>
      </x:c>
      <x:c r="I48" t="str">
        <x:v>Localizar informações explícitas em textos, recuperadas por meio de paráfrase.</x:v>
      </x:c>
      <x:c r="J48" t="str">
        <x:v>EF15LP03</x:v>
      </x:c>
      <x:c r="K48" t="str">
        <x:v>Localizar informações explícitas em textos.</x:v>
      </x:c>
      <x:c r="L48" t="str">
        <x:v>Associação curricular documentada não demonstra equivalência integral, pré-requisito causal ou domínio individual da BNCC.</x:v>
      </x:c>
      <x:c r="M48" t="str">
        <x:v>mapeamento rastreado</x:v>
      </x:c>
      <x:c r="N48" t="str">
        <x:v>https://drive.google.com/file/d/1n8F2kDfidB84QrJTtrHgbhUHL2G311qV/view</x:v>
      </x:c>
    </x:row>
    <x:row r="49" ht="22" customHeight="1">
      <x:c r="A49" t="n">
        <x:v>3</x:v>
      </x:c>
      <x:c r="B49" t="str">
        <x:v>LEITURA</x:v>
      </x:c>
      <x:c r="C49" t="str">
        <x:v>H 06</x:v>
      </x:c>
      <x:c r="D49" t="n">
        <x:v>42</x:v>
      </x:c>
      <x:c r="E49" t="n">
        <x:v>48</x:v>
      </x:c>
      <x:c r="F49" t="n">
        <x:v>87.5</x:v>
      </x:c>
      <x:c r="G49" t="n">
        <x:v>-7.5</x:v>
      </x:c>
      <x:c r="H49" t="str">
        <x:v>2EF11_P</x:v>
      </x:c>
      <x:c r="I49" t="str">
        <x:v>Reconhecer o assunto de um texto quando o assunto é tópico do primeiro parágrafo.</x:v>
      </x:c>
      <x:c r="J49" t="str">
        <x:v>EF35LP03</x:v>
      </x:c>
      <x:c r="K49" t="str">
        <x:v>Identificar a ideia central do texto, demonstrando compreensão global.</x:v>
      </x:c>
      <x:c r="L49" t="str">
        <x:v>Associação curricular documentada não demonstra equivalência integral, pré-requisito causal ou domínio individual da BNCC.</x:v>
      </x:c>
      <x:c r="M49" t="str">
        <x:v>mapeamento rastreado</x:v>
      </x:c>
      <x:c r="N49" t="str">
        <x:v>https://drive.google.com/file/d/1n8F2kDfidB84QrJTtrHgbhUHL2G311qV/view</x:v>
      </x:c>
    </x:row>
    <x:row r="50" ht="22" customHeight="1">
      <x:c r="A50" t="n">
        <x:v>3</x:v>
      </x:c>
      <x:c r="B50" t="str">
        <x:v>LEITURA</x:v>
      </x:c>
      <x:c r="C50" t="str">
        <x:v>H 07</x:v>
      </x:c>
      <x:c r="D50" t="n">
        <x:v>37</x:v>
      </x:c>
      <x:c r="E50" t="n">
        <x:v>48</x:v>
      </x:c>
      <x:c r="F50" t="n">
        <x:v>77.08</x:v>
      </x:c>
      <x:c r="G50" t="n">
        <x:v>2.92</x:v>
      </x:c>
      <x:c r="H50" t="str">
        <x:v>2EF14_P</x:v>
      </x:c>
      <x:c r="I50" t="str">
        <x:v>Inferir o sentido de palavra ou expressão idiomática própria da linguagem informal, com base em pistas co-textuais (sinonímia, palavra do mesmo campo semântico).</x:v>
      </x:c>
      <x:c r="J50" t="str">
        <x:v>EF35LP05</x:v>
      </x:c>
      <x:c r="K50" t="str">
        <x:v>Inferir o sentido de palavras ou expressões desconhecidas em textos, com base no contexto da frase ou do texto.</x:v>
      </x:c>
      <x:c r="L50" t="str">
        <x:v>Associação curricular documentada não demonstra equivalência integral, pré-requisito causal ou domínio individual da BNCC.</x:v>
      </x:c>
      <x:c r="M50" t="str">
        <x:v>mapeamento rastreado</x:v>
      </x:c>
      <x:c r="N50" t="str">
        <x:v>https://drive.google.com/file/d/1n8F2kDfidB84QrJTtrHgbhUHL2G311qV/view</x:v>
      </x:c>
    </x:row>
    <x:row r="51" ht="22" customHeight="1">
      <x:c r="A51" t="n">
        <x:v>3</x:v>
      </x:c>
      <x:c r="B51" t="str">
        <x:v>LEITURA</x:v>
      </x:c>
      <x:c r="C51" t="str">
        <x:v>H 08</x:v>
      </x:c>
      <x:c r="D51" t="n">
        <x:v>43</x:v>
      </x:c>
      <x:c r="E51" t="n">
        <x:v>48</x:v>
      </x:c>
      <x:c r="F51" t="n">
        <x:v>89.58</x:v>
      </x:c>
      <x:c r="G51" t="n">
        <x:v>-9.58</x:v>
      </x:c>
      <x:c r="H51" t="str">
        <x:v>2EF15_P</x:v>
      </x:c>
      <x:c r="I51" t="str">
        <x:v>Reconhecer o personagem principal de narrativas ficcionais, quando o personagem é citado no título ou é tópico do primeiro parágrafo.</x:v>
      </x:c>
      <x:c r="J51" t="str">
        <x:v>EF01LP26</x:v>
      </x:c>
      <x:c r="K51" t="str">
        <x:v>Identificar elementos de uma narrativa lida ou escutada, incluindo personagens, enredo, tempo e espaço.</x:v>
      </x:c>
      <x:c r="L51" t="str">
        <x:v>Associação curricular documentada não demonstra equivalência integral, pré-requisito causal ou domínio individual da BNCC.</x:v>
      </x:c>
      <x:c r="M51" t="str">
        <x:v>mapeamento rastreado</x:v>
      </x:c>
      <x:c r="N51" t="str">
        <x:v>https://drive.google.com/file/d/1n8F2kDfidB84QrJTtrHgbhUHL2G311qV/view</x:v>
      </x:c>
    </x:row>
    <x:row r="52" ht="22" customHeight="1">
      <x:c r="A52" t="n">
        <x:v>3</x:v>
      </x:c>
      <x:c r="B52" t="str">
        <x:v>LEITURA</x:v>
      </x:c>
      <x:c r="C52" t="str">
        <x:v>H 09</x:v>
      </x:c>
      <x:c r="D52" t="n">
        <x:v>34</x:v>
      </x:c>
      <x:c r="E52" t="n">
        <x:v>48</x:v>
      </x:c>
      <x:c r="F52" t="n">
        <x:v>70.83</x:v>
      </x:c>
      <x:c r="G52" t="n">
        <x:v>9.17</x:v>
      </x:c>
      <x:c r="H52" t="str">
        <x:v>2EF19_P</x:v>
      </x:c>
      <x:c r="I52" t="str">
        <x:v>Reconhecer o efeito de sentido produzido pelo uso de recursos expressivos gráfico-visuais em tirinhas e histórias em quadrinhos.</x:v>
      </x:c>
      <x:c r="J52" t="str">
        <x:v>EF15LP14</x:v>
      </x:c>
      <x:c r="K52" t="str">
        <x:v>Construir o sentido de histórias em quadrinhos e tirinhas, relacionando imagens e palavras e interpretando recursos gráficos (tipos de balões, de letras, onomatopeias).</x:v>
      </x:c>
      <x:c r="L52" t="str">
        <x:v>Associação curricular documentada não demonstra equivalência integral, pré-requisito causal ou domínio individual da BNCC.</x:v>
      </x:c>
      <x:c r="M52" t="str">
        <x:v>mapeamento rastreado</x:v>
      </x:c>
      <x:c r="N52" t="str">
        <x:v>https://drive.google.com/file/d/1n8F2kDfidB84QrJTtrHgbhUHL2G311qV/view</x:v>
      </x:c>
    </x:row>
    <x:row r="53" ht="22" customHeight="1">
      <x:c r="A53" t="n">
        <x:v>3</x:v>
      </x:c>
      <x:c r="B53" t="str">
        <x:v>LEITURA</x:v>
      </x:c>
      <x:c r="C53" t="str">
        <x:v>H 10</x:v>
      </x:c>
      <x:c r="D53" t="n">
        <x:v>48</x:v>
      </x:c>
      <x:c r="E53" t="n">
        <x:v>48</x:v>
      </x:c>
      <x:c r="F53" t="n">
        <x:v>100</x:v>
      </x:c>
      <x:c r="G53" t="n">
        <x:v>-20</x:v>
      </x:c>
      <x:c r="H53" t="str">
        <x:v>3EF06_P</x:v>
      </x:c>
      <x:c r="I53" t="str">
        <x:v>Ler frases (sujeito, verbo, objeto direto e objeto indireto ou frase na ordem indireta).</x:v>
      </x:c>
      <x:c r="J53" t="str">
        <x:v>EF01LP02</x:v>
      </x:c>
      <x:c r="K53" t="str">
        <x:v>Escrever, espontaneamente ou por ditado, palavras e frases de forma alfabética – usando letras/grafemas que representem fonemas.</x:v>
      </x:c>
      <x:c r="L53" t="str">
        <x:v>O descritor CAEd trata de ler frases; o texto BNCC trata de escrever palavras/frases. Associação publicada preservada com ressalva semântica.</x:v>
      </x:c>
      <x:c r="M53" t="str">
        <x:v>mapeamento rastreado</x:v>
      </x:c>
      <x:c r="N53" t="str">
        <x:v>https://drive.google.com/file/d/1n8F2kDfidB84QrJTtrHgbhUHL2G311qV/view</x:v>
      </x:c>
    </x:row>
    <x:row r="54" ht="22" customHeight="1">
      <x:c r="A54" t="n">
        <x:v>3</x:v>
      </x:c>
      <x:c r="B54" t="str">
        <x:v>LEITURA</x:v>
      </x:c>
      <x:c r="C54" t="str">
        <x:v>H 11</x:v>
      </x:c>
      <x:c r="D54" t="n">
        <x:v>47</x:v>
      </x:c>
      <x:c r="E54" t="n">
        <x:v>48</x:v>
      </x:c>
      <x:c r="F54" t="n">
        <x:v>97.92</x:v>
      </x:c>
      <x:c r="G54" t="n">
        <x:v>-17.92</x:v>
      </x:c>
      <x:c r="H54" t="str">
        <x:v>3EF16_P</x:v>
      </x:c>
      <x:c r="I54" t="str">
        <x:v>Reconhecer o gênero de um texto do campo da vida cotidiana.</x:v>
      </x:c>
      <x:c r="J54" t="str">
        <x:v>EF15LP02</x:v>
      </x:c>
      <x:c r="K54" t="str">
        <x:v>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x:v>
      </x:c>
      <x:c r="L54" t="str">
        <x:v>Associação curricular documentada não demonstra equivalência integral, pré-requisito causal ou domínio individual da BNCC.</x:v>
      </x:c>
      <x:c r="M54" t="str">
        <x:v>mapeamento rastreado</x:v>
      </x:c>
      <x:c r="N54" t="str">
        <x:v>https://drive.google.com/file/d/1n8F2kDfidB84QrJTtrHgbhUHL2G311qV/view</x:v>
      </x:c>
    </x:row>
    <x:row r="55" ht="22" customHeight="1">
      <x:c r="A55" t="n">
        <x:v>3</x:v>
      </x:c>
      <x:c r="B55" t="str">
        <x:v>LEITURA</x:v>
      </x:c>
      <x:c r="C55"/>
      <x:c r="D55" t="n">
        <x:v>451</x:v>
      </x:c>
      <x:c r="E55" t="n">
        <x:v>528</x:v>
      </x:c>
      <x:c r="F55" t="n">
        <x:v>85.42</x:v>
      </x:c>
      <x:c r="G55" t="n">
        <x:v>-5.42</x:v>
      </x:c>
      <x:c r="H55" t="str"/>
      <x:c r="I55" t="str"/>
      <x:c r="J55" t="str"/>
      <x:c r="K55" t="str"/>
      <x:c r="L55" t="str"/>
      <x:c r="M55" t="str">
        <x:v>sem vínculo validado</x:v>
      </x:c>
      <x:c r="N55" t="str">
        <x:v>https://drive.google.com/file/d/1n8F2kDfidB84QrJTtrHgbhUHL2G311qV/view</x:v>
      </x:c>
    </x:row>
    <x:row r="56" ht="22" customHeight="1">
      <x:c r="A56" t="n">
        <x:v>3</x:v>
      </x:c>
      <x:c r="B56" t="str">
        <x:v>MATEMATICA</x:v>
      </x:c>
      <x:c r="C56" t="str">
        <x:v>H 01</x:v>
      </x:c>
      <x:c r="D56" t="n">
        <x:v>39</x:v>
      </x:c>
      <x:c r="E56" t="n">
        <x:v>48</x:v>
      </x:c>
      <x:c r="F56" t="n">
        <x:v>81.25</x:v>
      </x:c>
      <x:c r="G56" t="n">
        <x:v>-1.25</x:v>
      </x:c>
      <x:c r="H56" t="str">
        <x:v>2EF07_M</x:v>
      </x:c>
      <x:c r="I56" t="str">
        <x:v>Determinar termos ausentes em sequências repetitivas de números naturais formados por até três algarismos.</x:v>
      </x:c>
      <x:c r="J56" t="str">
        <x:v>EF02MA11</x:v>
      </x:c>
      <x:c r="K56" t="str">
        <x:v>Descrever os elementos ausentes em sequências repetitivas e em sequências recursivas de números naturais, objetos ou figuras.</x:v>
      </x:c>
      <x:c r="L56" t="str">
        <x:v>Associação curricular documentada não demonstra equivalência integral, pré-requisito causal ou domínio individual da BNCC.</x:v>
      </x:c>
      <x:c r="M56" t="str">
        <x:v>mapeamento rastreado</x:v>
      </x:c>
      <x:c r="N56" t="str">
        <x:v>https://drive.google.com/file/d/1n8F2kDfidB84QrJTtrHgbhUHL2G311qV/view</x:v>
      </x:c>
    </x:row>
    <x:row r="57" ht="22" customHeight="1">
      <x:c r="A57" t="n">
        <x:v>3</x:v>
      </x:c>
      <x:c r="B57" t="str">
        <x:v>MATEMATICA</x:v>
      </x:c>
      <x:c r="C57" t="str">
        <x:v>H 02</x:v>
      </x:c>
      <x:c r="D57" t="n">
        <x:v>23</x:v>
      </x:c>
      <x:c r="E57" t="n">
        <x:v>48</x:v>
      </x:c>
      <x:c r="F57" t="n">
        <x:v>47.92</x:v>
      </x:c>
      <x:c r="G57" t="n">
        <x:v>32.08</x:v>
      </x:c>
      <x:c r="H57" t="str">
        <x:v>2EF08_M</x:v>
      </x:c>
      <x:c r="I57" t="str">
        <x:v>Interpretar localização de pessoas, animais ou objetos no espaço, considerando um ou mais de um ponto de referência e noções de orientação (à direita, à esquerda, em frente, atrás, em cima e/ou embaixo).</x:v>
      </x:c>
      <x:c r="J57" t="str">
        <x:v>EF01MA12, EF02MA12</x:v>
      </x:c>
      <x:c r="K57" t="str">
        <x:v>Descrever a localização de pessoas e de objetos no espaço segundo um dado ponto de referência, compreendendo que, para a utilização de termos que se referem à posição, como direita, esquerda, em cima, em baixo, é necessário explicitar-se o referencial. | Identificar e registrar, em linguagem verbal ou não verbal, a localização e os deslocamentos de pessoas e de objetos no espaço, considerando mais de um ponto de refe</x:v>
      </x:c>
      <x:c r="L57" t="str">
        <x:v>Associação curricular documentada não demonstra equivalência integral, pré-requisito causal ou domínio individual da BNCC.</x:v>
      </x:c>
      <x:c r="M57" t="str">
        <x:v>mapeamento rastreado</x:v>
      </x:c>
      <x:c r="N57" t="str">
        <x:v>https://drive.google.com/file/d/1n8F2kDfidB84QrJTtrHgbhUHL2G311qV/view</x:v>
      </x:c>
    </x:row>
    <x:row r="58" ht="22" customHeight="1">
      <x:c r="A58" t="n">
        <x:v>3</x:v>
      </x:c>
      <x:c r="B58" t="str">
        <x:v>MATEMATICA</x:v>
      </x:c>
      <x:c r="C58" t="str">
        <x:v>H 03</x:v>
      </x:c>
      <x:c r="D58" t="n">
        <x:v>38</x:v>
      </x:c>
      <x:c r="E58" t="n">
        <x:v>48</x:v>
      </x:c>
      <x:c r="F58" t="n">
        <x:v>79.17</x:v>
      </x:c>
      <x:c r="G58" t="n">
        <x:v>0.83</x:v>
      </x:c>
      <x:c r="H58" t="str">
        <x:v>2EF12_M</x:v>
      </x:c>
      <x:c r="I58" t="str">
        <x:v>Corresponder coleções distintas de moedas e/ou de cédulas do sistema monetário brasileiro que representam uma mesma quantia, em situações do cotidiano.</x:v>
      </x:c>
      <x:c r="J58" t="str">
        <x:v>EF02MA20</x:v>
      </x:c>
      <x:c r="K58" t="str">
        <x:v>Estabelecer a equivalência de valores entre moedas e cédulas do sistema monetário brasileiro para resolver situações cotidianas.</x:v>
      </x:c>
      <x:c r="L58" t="str">
        <x:v>Associação curricular documentada não demonstra equivalência integral, pré-requisito causal ou domínio individual da BNCC.</x:v>
      </x:c>
      <x:c r="M58" t="str">
        <x:v>mapeamento rastreado</x:v>
      </x:c>
      <x:c r="N58" t="str">
        <x:v>https://drive.google.com/file/d/1n8F2kDfidB84QrJTtrHgbhUHL2G311qV/view</x:v>
      </x:c>
    </x:row>
    <x:row r="59" ht="22" customHeight="1">
      <x:c r="A59" t="n">
        <x:v>3</x:v>
      </x:c>
      <x:c r="B59" t="str">
        <x:v>MATEMATICA</x:v>
      </x:c>
      <x:c r="C59" t="str">
        <x:v>H 04</x:v>
      </x:c>
      <x:c r="D59" t="n">
        <x:v>20</x:v>
      </x:c>
      <x:c r="E59" t="n">
        <x:v>24</x:v>
      </x:c>
      <x:c r="F59" t="n">
        <x:v>83.33</x:v>
      </x:c>
      <x:c r="G59" t="n">
        <x:v>-3.33</x:v>
      </x:c>
      <x:c r="H59" t="str">
        <x:v>2EF13_M</x:v>
      </x:c>
      <x:c r="I59" t="str">
        <x:v>Classificar chance de ocorrência de evento, associado a um experimento aleatório, empregando termos como: impossível, certo, pouco provável ou muito provável, em situações do cotidiano.</x:v>
      </x:c>
      <x:c r="J59" t="str">
        <x:v>EF02MA21</x:v>
      </x:c>
      <x:c r="K59" t="str">
        <x:v>Classificar resultados de eventos cotidianos aleatórios como “pouco prováveis”, “muito prováveis”, “improváveis” e “impossíveis”.</x:v>
      </x:c>
      <x:c r="L59" t="str">
        <x:v>Associação curricular documentada não demonstra equivalência integral, pré-requisito causal ou domínio individual da BNCC.</x:v>
      </x:c>
      <x:c r="M59" t="str">
        <x:v>mapeamento rastreado</x:v>
      </x:c>
      <x:c r="N59" t="str">
        <x:v>https://drive.google.com/file/d/1n8F2kDfidB84QrJTtrHgbhUHL2G311qV/view</x:v>
      </x:c>
    </x:row>
    <x:row r="60" ht="22" customHeight="1">
      <x:c r="A60" t="n">
        <x:v>3</x:v>
      </x:c>
      <x:c r="B60" t="str">
        <x:v>MATEMATICA</x:v>
      </x:c>
      <x:c r="C60" t="str">
        <x:v>H 05</x:v>
      </x:c>
      <x:c r="D60" t="n">
        <x:v>20</x:v>
      </x:c>
      <x:c r="E60" t="n">
        <x:v>24</x:v>
      </x:c>
      <x:c r="F60" t="n">
        <x:v>83.33</x:v>
      </x:c>
      <x:c r="G60" t="n">
        <x:v>-3.33</x:v>
      </x:c>
      <x:c r="H60" t="str">
        <x:v>2EF14_M</x:v>
      </x:c>
      <x:c r="I60" t="str">
        <x:v>Identificar dados estatísticos dispostos em tabelas de dupla entrada.</x:v>
      </x:c>
      <x:c r="J60" t="str">
        <x:v>EF02MA22</x:v>
      </x:c>
      <x:c r="K60" t="str">
        <x:v>Comparar informações de pesquisas apresentadas por meio de tabelas de dupla entrada e em gráficos de colunas simples ou barras, para melhor compreender aspectos da realidade próxima.</x:v>
      </x:c>
      <x:c r="L60" t="str">
        <x:v>Associação curricular documentada não demonstra equivalência integral, pré-requisito causal ou domínio individual da BNCC.</x:v>
      </x:c>
      <x:c r="M60" t="str">
        <x:v>mapeamento rastreado</x:v>
      </x:c>
      <x:c r="N60" t="str">
        <x:v>https://drive.google.com/file/d/1n8F2kDfidB84QrJTtrHgbhUHL2G311qV/view</x:v>
      </x:c>
    </x:row>
    <x:row r="61" ht="22" customHeight="1">
      <x:c r="A61" t="n">
        <x:v>3</x:v>
      </x:c>
      <x:c r="B61" t="str">
        <x:v>MATEMATICA</x:v>
      </x:c>
      <x:c r="C61" t="str">
        <x:v>H 06</x:v>
      </x:c>
      <x:c r="D61" t="n">
        <x:v>36</x:v>
      </x:c>
      <x:c r="E61" t="n">
        <x:v>48</x:v>
      </x:c>
      <x:c r="F61" t="n">
        <x:v>75</x:v>
      </x:c>
      <x:c r="G61" t="n">
        <x:v>5</x:v>
      </x:c>
      <x:c r="H61" t="str">
        <x:v>2EF15_M</x:v>
      </x:c>
      <x:c r="I61" t="str">
        <x:v>Interpretar dados estatísticos dispostos em tabelas simples, em gráficos de colunas ou de barras simples.</x:v>
      </x:c>
      <x:c r="J61" t="str">
        <x:v>EF02MA22</x:v>
      </x:c>
      <x:c r="K61" t="str">
        <x:v>Comparar informações de pesquisas apresentadas por meio de tabelas de dupla entrada e em gráficos de colunas simples ou barras, para melhor compreender aspectos da realidade próxima.</x:v>
      </x:c>
      <x:c r="L61" t="str">
        <x:v>Associação curricular documentada não demonstra equivalência integral, pré-requisito causal ou domínio individual da BNCC.</x:v>
      </x:c>
      <x:c r="M61" t="str">
        <x:v>mapeamento rastreado</x:v>
      </x:c>
      <x:c r="N61" t="str">
        <x:v>https://drive.google.com/file/d/1n8F2kDfidB84QrJTtrHgbhUHL2G311qV/view</x:v>
      </x:c>
    </x:row>
    <x:row r="62" ht="22" customHeight="1">
      <x:c r="A62" t="n">
        <x:v>3</x:v>
      </x:c>
      <x:c r="B62" t="str">
        <x:v>MATEMATICA</x:v>
      </x:c>
      <x:c r="C62" t="str">
        <x:v>H 07</x:v>
      </x:c>
      <x:c r="D62" t="n">
        <x:v>39</x:v>
      </x:c>
      <x:c r="E62" t="n">
        <x:v>48</x:v>
      </x:c>
      <x:c r="F62" t="n">
        <x:v>81.25</x:v>
      </x:c>
      <x:c r="G62" t="n">
        <x:v>-1.25</x:v>
      </x:c>
      <x:c r="H62" t="str">
        <x:v>3EF01_M</x:v>
      </x:c>
      <x:c r="I62" t="str">
        <x:v>Comparar números naturais formados por até quatro algarismos, indicando o menor, o maior, a ordenação crescente ou a decrescente deles.</x:v>
      </x:c>
      <x:c r="J62" t="str">
        <x:v>EF02MA01, EF03MA01</x:v>
      </x:c>
      <x:c r="K62" t="str">
        <x:v>Comparar e ordenar números naturais (até a ordem de centenas) pela compreensão de características do sistema de numeração decimal (valor posicional e função do zero). | Ler, escrever e comparar números naturais de até a ordem de unidade de milhar, estabelecendo relações entre os registros numéricos e em língua materna.</x:v>
      </x:c>
      <x:c r="L62" t="str">
        <x:v>Associação curricular documentada não demonstra equivalência integral, pré-requisito causal ou domínio individual da BNCC.</x:v>
      </x:c>
      <x:c r="M62" t="str">
        <x:v>mapeamento rastreado</x:v>
      </x:c>
      <x:c r="N62" t="str">
        <x:v>https://drive.google.com/file/d/1n8F2kDfidB84QrJTtrHgbhUHL2G311qV/view</x:v>
      </x:c>
    </x:row>
    <x:row r="63" ht="22" customHeight="1">
      <x:c r="A63" t="n">
        <x:v>3</x:v>
      </x:c>
      <x:c r="B63" t="str">
        <x:v>MATEMATICA</x:v>
      </x:c>
      <x:c r="C63" t="str">
        <x:v>H 08</x:v>
      </x:c>
      <x:c r="D63" t="n">
        <x:v>38</x:v>
      </x:c>
      <x:c r="E63" t="n">
        <x:v>48</x:v>
      </x:c>
      <x:c r="F63" t="n">
        <x:v>79.17</x:v>
      </x:c>
      <x:c r="G63" t="n">
        <x:v>0.83</x:v>
      </x:c>
      <x:c r="H63" t="str">
        <x:v>3EF06_M</x:v>
      </x:c>
      <x:c r="I63" t="str">
        <x:v>Efetuar a operação de adição entre números naturais formados por até quatro algarismos.</x:v>
      </x:c>
      <x:c r="J63" t="str">
        <x:v>EF02MA06, EF03MA05</x:v>
      </x:c>
      <x:c r="K63" t="str">
        <x:v>Resolver e elaborar problemas de adição e de subtração, envolvendo números de até três ordens, com os significados de juntar, acrescentar, separar, retirar, utilizando estratégias pessoais. | Utilizar diferentes procedimentos de cálculo mental e escrito, inclusive os convencionais, para resolver problemas significativos envolvendo adição e subtração com números naturais.</x:v>
      </x:c>
      <x:c r="L63" t="str">
        <x:v>Associação curricular documentada não demonstra equivalência integral, pré-requisito causal ou domínio individual da BNCC.</x:v>
      </x:c>
      <x:c r="M63" t="str">
        <x:v>mapeamento rastreado</x:v>
      </x:c>
      <x:c r="N63" t="str">
        <x:v>https://drive.google.com/file/d/1n8F2kDfidB84QrJTtrHgbhUHL2G311qV/view</x:v>
      </x:c>
    </x:row>
    <x:row r="64" ht="22" customHeight="1">
      <x:c r="A64" t="n">
        <x:v>3</x:v>
      </x:c>
      <x:c r="B64" t="str">
        <x:v>MATEMATICA</x:v>
      </x:c>
      <x:c r="C64" t="str">
        <x:v>H 09</x:v>
      </x:c>
      <x:c r="D64" t="n">
        <x:v>37</x:v>
      </x:c>
      <x:c r="E64" t="n">
        <x:v>48</x:v>
      </x:c>
      <x:c r="F64" t="n">
        <x:v>77.08</x:v>
      </x:c>
      <x:c r="G64" t="n">
        <x:v>2.92</x:v>
      </x:c>
      <x:c r="H64" t="str">
        <x:v>3EF07_M</x:v>
      </x:c>
      <x:c r="I64" t="str">
        <x:v>Utilizar a operação de adição entre números naturais, formados por até quatro algarismos, envolvendo o significado de juntar ou de acrescentar, na resolução de problema.</x:v>
      </x:c>
      <x:c r="J64" t="str">
        <x:v>EF02MA06, EF03MA06</x:v>
      </x:c>
      <x:c r="K64" t="str">
        <x:v>Resolver e elaborar problemas de adição e de subtração, envolvendo números de até três ordens, com os significados de juntar, acrescentar, separar, retirar, utilizando estratégias pessoais. | Resolver e elaborar problemas de adição e subtração com os significados de juntar, acrescentar, separar, retirar, comparar e completar quantidades, utilizando diferentes estratégias de cálculo exato ou aproximado, incluindo cálc</x:v>
      </x:c>
      <x:c r="L64" t="str">
        <x:v>Associação curricular documentada não demonstra equivalência integral, pré-requisito causal ou domínio individual da BNCC.</x:v>
      </x:c>
      <x:c r="M64" t="str">
        <x:v>mapeamento rastreado</x:v>
      </x:c>
      <x:c r="N64" t="str">
        <x:v>https://drive.google.com/file/d/1n8F2kDfidB84QrJTtrHgbhUHL2G311qV/view</x:v>
      </x:c>
    </x:row>
    <x:row r="65" ht="22" customHeight="1">
      <x:c r="A65" t="n">
        <x:v>3</x:v>
      </x:c>
      <x:c r="B65" t="str">
        <x:v>MATEMATICA</x:v>
      </x:c>
      <x:c r="C65" t="str">
        <x:v>H 10</x:v>
      </x:c>
      <x:c r="D65" t="n">
        <x:v>37</x:v>
      </x:c>
      <x:c r="E65" t="n">
        <x:v>48</x:v>
      </x:c>
      <x:c r="F65" t="n">
        <x:v>77.08</x:v>
      </x:c>
      <x:c r="G65" t="n">
        <x:v>2.92</x:v>
      </x:c>
      <x:c r="H65" t="str">
        <x:v>3EF09_M</x:v>
      </x:c>
      <x:c r="I65" t="str">
        <x:v>Utilizar a operação de subtração entre números naturais, formados por até quatro algarismos, envolvendo o significado de separar, de retirar, de comparar ou de completar, na resolução de problema.</x:v>
      </x:c>
      <x:c r="J65" t="str">
        <x:v>EF02MA06, EF03MA06</x:v>
      </x:c>
      <x:c r="K65" t="str">
        <x:v>Resolver e elaborar problemas de adição e de subtração, envolvendo números de até três ordens, com os significados de juntar, acrescentar, separar, retirar, utilizando estratégias pessoais. | Resolver e elaborar problemas de adição e subtração com os significados de juntar, acrescentar, separar, retirar, comparar e completar quantidades, utilizando diferentes estratégias de cálculo exato ou aproximado, incluindo cálc</x:v>
      </x:c>
      <x:c r="L65" t="str">
        <x:v>Associação curricular documentada não demonstra equivalência integral, pré-requisito causal ou domínio individual da BNCC.</x:v>
      </x:c>
      <x:c r="M65" t="str">
        <x:v>mapeamento rastreado</x:v>
      </x:c>
      <x:c r="N65" t="str">
        <x:v>https://drive.google.com/file/d/1n8F2kDfidB84QrJTtrHgbhUHL2G311qV/view</x:v>
      </x:c>
    </x:row>
    <x:row r="66" ht="22" customHeight="1">
      <x:c r="A66" t="n">
        <x:v>3</x:v>
      </x:c>
      <x:c r="B66" t="str">
        <x:v>MATEMATICA</x:v>
      </x:c>
      <x:c r="C66" t="str">
        <x:v>H 11</x:v>
      </x:c>
      <x:c r="D66" t="n">
        <x:v>37</x:v>
      </x:c>
      <x:c r="E66" t="n">
        <x:v>48</x:v>
      </x:c>
      <x:c r="F66" t="n">
        <x:v>77.08</x:v>
      </x:c>
      <x:c r="G66" t="n">
        <x:v>2.92</x:v>
      </x:c>
      <x:c r="H66" t="str">
        <x:v>3EF15_M</x:v>
      </x:c>
      <x:c r="I66" t="str">
        <x:v>Medir comprimento, capacidade ou massa, usando unidades de medidas padronizadas (metro, centímetro, milímetro, litro, mililitro, quilograma, grama ou miligrama).</x:v>
      </x:c>
      <x:c r="J66" t="str">
        <x:v>EF02MA16, EF02MA17</x:v>
      </x:c>
      <x:c r="K66" t="str">
        <x:v>Estimar, medir e comparar comprimentos de lados de salas (incluindo contorno) e de polígonos, utilizando unidades de medida não padronizadas e padronizadas (metro, centímetro e milímetro) e instrumentos adequados. | Estimar, medir e comparar capacidade e massa, utilizando estratégias pessoais e unidades de medida não padronizadas ou padronizadas (litro, mililitro, grama e quilograma).</x:v>
      </x:c>
      <x:c r="L66" t="str">
        <x:v>Associação curricular documentada não demonstra equivalência integral, pré-requisito causal ou domínio individual da BNCC.</x:v>
      </x:c>
      <x:c r="M66" t="str">
        <x:v>mapeamento rastreado</x:v>
      </x:c>
      <x:c r="N66" t="str">
        <x:v>https://drive.google.com/file/d/1n8F2kDfidB84QrJTtrHgbhUHL2G311qV/view</x:v>
      </x:c>
    </x:row>
    <x:row r="67" ht="22" customHeight="1">
      <x:c r="A67" t="n">
        <x:v>3</x:v>
      </x:c>
      <x:c r="B67" t="str">
        <x:v>MATEMATICA</x:v>
      </x:c>
      <x:c r="C67" t="str">
        <x:v>H 12</x:v>
      </x:c>
      <x:c r="D67" t="n">
        <x:v>37</x:v>
      </x:c>
      <x:c r="E67" t="n">
        <x:v>48</x:v>
      </x:c>
      <x:c r="F67" t="n">
        <x:v>77.08</x:v>
      </x:c>
      <x:c r="G67" t="n">
        <x:v>2.92</x:v>
      </x:c>
      <x:c r="H67" t="str">
        <x:v>3EF16_M</x:v>
      </x:c>
      <x:c r="I67" t="str">
        <x:v>Reconhecer horário em relógio digital ou analógico (hora e minuto).</x:v>
      </x:c>
      <x:c r="J67" t="str">
        <x:v>EF02MA19, EF03MA23</x:v>
      </x:c>
      <x:c r="K67" t="str">
        <x:v>Medir a duração de um intervalo de tempo por meio de relógio digital e registrar o horário do início e do fim do intervalo. | Ler horas em relógios digitais e em relógios analógicos e reconhecer a relação entre hora e minutos e entre minuto e segundos.</x:v>
      </x:c>
      <x:c r="L67" t="str">
        <x:v>Associação curricular documentada não demonstra equivalência integral, pré-requisito causal ou domínio individual da BNCC.</x:v>
      </x:c>
      <x:c r="M67" t="str">
        <x:v>mapeamento rastreado</x:v>
      </x:c>
      <x:c r="N67" t="str">
        <x:v>https://drive.google.com/file/d/1n8F2kDfidB84QrJTtrHgbhUHL2G311qV/view</x:v>
      </x:c>
    </x:row>
    <x:row r="68" ht="22" customHeight="1">
      <x:c r="A68" t="n">
        <x:v>3</x:v>
      </x:c>
      <x:c r="B68" t="str">
        <x:v>MATEMATICA</x:v>
      </x:c>
      <x:c r="C68"/>
      <x:c r="D68" t="n">
        <x:v>401</x:v>
      </x:c>
      <x:c r="E68" t="n">
        <x:v>528</x:v>
      </x:c>
      <x:c r="F68" t="n">
        <x:v>75.95</x:v>
      </x:c>
      <x:c r="G68" t="n">
        <x:v>4.05</x:v>
      </x:c>
      <x:c r="H68" t="str"/>
      <x:c r="I68" t="str"/>
      <x:c r="J68" t="str"/>
      <x:c r="K68" t="str"/>
      <x:c r="L68" t="str"/>
      <x:c r="M68" t="str">
        <x:v>sem vínculo validado</x:v>
      </x:c>
      <x:c r="N68" t="str">
        <x:v>https://drive.google.com/file/d/1n8F2kDfidB84QrJTtrHgbhUHL2G311qV/view</x:v>
      </x:c>
    </x:row>
    <x:row r="69" ht="22" customHeight="1">
      <x:c r="A69" t="n">
        <x:v>4</x:v>
      </x:c>
      <x:c r="B69" t="str">
        <x:v>LEITURA</x:v>
      </x:c>
      <x:c r="C69" t="str">
        <x:v>H 01</x:v>
      </x:c>
      <x:c r="D69" t="n">
        <x:v>40</x:v>
      </x:c>
      <x:c r="E69" t="n">
        <x:v>42</x:v>
      </x:c>
      <x:c r="F69" t="n">
        <x:v>95.24</x:v>
      </x:c>
      <x:c r="G69" t="n">
        <x:v>-15.24</x:v>
      </x:c>
      <x:c r="H69" t="str">
        <x:v>1EF09_P</x:v>
      </x:c>
      <x:c r="I69" t="str">
        <x:v>Ler palavras formadas por sílabas não canônicas.</x:v>
      </x:c>
      <x:c r="J69" t="str">
        <x:v>EF02LP04</x:v>
      </x:c>
      <x:c r="K69" t="str">
        <x:v>Ler e escrever corretamente palavras com sílabas CV, V, CVC, CCV, identificando que existem vogais em todas as sílabas.</x:v>
      </x:c>
      <x:c r="L69" t="str">
        <x:v>Associação curricular documentada não demonstra equivalência integral, pré-requisito causal ou domínio individual da BNCC.</x:v>
      </x:c>
      <x:c r="M69" t="str">
        <x:v>mapeamento rastreado</x:v>
      </x:c>
      <x:c r="N69" t="str">
        <x:v>https://drive.google.com/file/d/1n8F2kDfidB84QrJTtrHgbhUHL2G311qV/view</x:v>
      </x:c>
    </x:row>
    <x:row r="70" ht="22" customHeight="1">
      <x:c r="A70" t="n">
        <x:v>4</x:v>
      </x:c>
      <x:c r="B70" t="str">
        <x:v>LEITURA</x:v>
      </x:c>
      <x:c r="C70" t="str">
        <x:v>H 02</x:v>
      </x:c>
      <x:c r="D70" t="n">
        <x:v>63</x:v>
      </x:c>
      <x:c r="E70" t="n">
        <x:v>84</x:v>
      </x:c>
      <x:c r="F70" t="n">
        <x:v>75</x:v>
      </x:c>
      <x:c r="G70" t="n">
        <x:v>5</x:v>
      </x:c>
      <x:c r="H70" t="str">
        <x:v>2EF08_P</x:v>
      </x:c>
      <x:c r="I70" t="str">
        <x:v>Localizar informações explícitas em textos, recuperadas por meio de paráfrase.</x:v>
      </x:c>
      <x:c r="J70" t="str">
        <x:v>EF15LP03</x:v>
      </x:c>
      <x:c r="K70" t="str">
        <x:v>Localizar informações explícitas em textos.</x:v>
      </x:c>
      <x:c r="L70" t="str">
        <x:v>Associação curricular documentada não demonstra equivalência integral, pré-requisito causal ou domínio individual da BNCC.</x:v>
      </x:c>
      <x:c r="M70" t="str">
        <x:v>mapeamento rastreado</x:v>
      </x:c>
      <x:c r="N70" t="str">
        <x:v>https://drive.google.com/file/d/1n8F2kDfidB84QrJTtrHgbhUHL2G311qV/view</x:v>
      </x:c>
    </x:row>
    <x:row r="71" ht="22" customHeight="1">
      <x:c r="A71" t="n">
        <x:v>4</x:v>
      </x:c>
      <x:c r="B71" t="str">
        <x:v>LEITURA</x:v>
      </x:c>
      <x:c r="C71" t="str">
        <x:v>H 03</x:v>
      </x:c>
      <x:c r="D71" t="n">
        <x:v>35</x:v>
      </x:c>
      <x:c r="E71" t="n">
        <x:v>42</x:v>
      </x:c>
      <x:c r="F71" t="n">
        <x:v>83.33</x:v>
      </x:c>
      <x:c r="G71" t="n">
        <x:v>-3.33</x:v>
      </x:c>
      <x:c r="H71" t="str">
        <x:v>2EF19_P</x:v>
      </x:c>
      <x:c r="I71" t="str">
        <x:v>Reconhecer o efeito de sentido produzido pelo uso de recursos expressivos gráfico-visuais em tirinhas e histórias em quadrinhos.</x:v>
      </x:c>
      <x:c r="J71" t="str">
        <x:v>EF15LP14</x:v>
      </x:c>
      <x:c r="K71" t="str">
        <x:v>Construir o sentido de histórias em quadrinhos e tirinhas, relacionando imagens e palavras e interpretando recursos gráficos (tipos de balões, de letras, onomatopeias).</x:v>
      </x:c>
      <x:c r="L71" t="str">
        <x:v>Associação curricular documentada não demonstra equivalência integral, pré-requisito causal ou domínio individual da BNCC.</x:v>
      </x:c>
      <x:c r="M71" t="str">
        <x:v>mapeamento rastreado</x:v>
      </x:c>
      <x:c r="N71" t="str">
        <x:v>https://drive.google.com/file/d/1n8F2kDfidB84QrJTtrHgbhUHL2G311qV/view</x:v>
      </x:c>
    </x:row>
    <x:row r="72" ht="22" customHeight="1">
      <x:c r="A72" t="n">
        <x:v>4</x:v>
      </x:c>
      <x:c r="B72" t="str">
        <x:v>LEITURA</x:v>
      </x:c>
      <x:c r="C72" t="str">
        <x:v>H 04</x:v>
      </x:c>
      <x:c r="D72" t="n">
        <x:v>23</x:v>
      </x:c>
      <x:c r="E72" t="n">
        <x:v>42</x:v>
      </x:c>
      <x:c r="F72" t="n">
        <x:v>54.76</x:v>
      </x:c>
      <x:c r="G72" t="n">
        <x:v>25.24</x:v>
      </x:c>
      <x:c r="H72" t="str">
        <x:v>3EF01_P</x:v>
      </x:c>
      <x:c r="I72" t="str">
        <x:v>Identificar variações de sons de grafema no caso de correspondências regulares contextuais entre grafemas e fonemas (c/qu; g/gu; r/rr; s/ss).</x:v>
      </x:c>
      <x:c r="J72" t="str">
        <x:v>EF05LP01</x:v>
      </x:c>
      <x:c r="K72" t="str">
        <x:v>Grafar palavras utilizando regras de correspondência fonema-grafema regulares, contextuais e morfológicas e palavras de uso frequente com correspondências irregulares.</x:v>
      </x:c>
      <x:c r="L72" t="str">
        <x:v>Associação curricular documentada não demonstra equivalência integral, pré-requisito causal ou domínio individual da BNCC.</x:v>
      </x:c>
      <x:c r="M72" t="str">
        <x:v>mapeamento rastreado</x:v>
      </x:c>
      <x:c r="N72" t="str">
        <x:v>https://drive.google.com/file/d/1n8F2kDfidB84QrJTtrHgbhUHL2G311qV/view</x:v>
      </x:c>
    </x:row>
    <x:row r="73" ht="22" customHeight="1">
      <x:c r="A73" t="n">
        <x:v>4</x:v>
      </x:c>
      <x:c r="B73" t="str">
        <x:v>LEITURA</x:v>
      </x:c>
      <x:c r="C73" t="str">
        <x:v>H 05</x:v>
      </x:c>
      <x:c r="D73" t="n">
        <x:v>48</x:v>
      </x:c>
      <x:c r="E73" t="n">
        <x:v>84</x:v>
      </x:c>
      <x:c r="F73" t="n">
        <x:v>57.14</x:v>
      </x:c>
      <x:c r="G73" t="n">
        <x:v>22.86</x:v>
      </x:c>
      <x:c r="H73" t="str">
        <x:v>3EF02_P</x:v>
      </x:c>
      <x:c r="I73" t="str">
        <x:v>Identificar variações de sons de grafema no caso de correspondências irregulares entre grafemas e fonemas (j/g; c antes de e/i; sons do x – x/ch).</x:v>
      </x:c>
      <x:c r="J73" t="str">
        <x:v>EF05LP01</x:v>
      </x:c>
      <x:c r="K73" t="str">
        <x:v>Grafar palavras utilizando regras de correspondência fonema-grafema regulares, contextuais e morfológicas e palavras de uso frequente com correspondências irregulares.</x:v>
      </x:c>
      <x:c r="L73" t="str">
        <x:v>Associação curricular documentada não demonstra equivalência integral, pré-requisito causal ou domínio individual da BNCC.</x:v>
      </x:c>
      <x:c r="M73" t="str">
        <x:v>mapeamento rastreado</x:v>
      </x:c>
      <x:c r="N73" t="str">
        <x:v>https://drive.google.com/file/d/1n8F2kDfidB84QrJTtrHgbhUHL2G311qV/view</x:v>
      </x:c>
    </x:row>
    <x:row r="74" ht="22" customHeight="1">
      <x:c r="A74" t="n">
        <x:v>4</x:v>
      </x:c>
      <x:c r="B74" t="str">
        <x:v>LEITURA</x:v>
      </x:c>
      <x:c r="C74" t="str">
        <x:v>H 06</x:v>
      </x:c>
      <x:c r="D74" t="n">
        <x:v>41</x:v>
      </x:c>
      <x:c r="E74" t="n">
        <x:v>84</x:v>
      </x:c>
      <x:c r="F74" t="n">
        <x:v>48.81</x:v>
      </x:c>
      <x:c r="G74" t="n">
        <x:v>31.19</x:v>
      </x:c>
      <x:c r="H74" t="str">
        <x:v>3EF03_P</x:v>
      </x:c>
      <x:c r="I74" t="str">
        <x:v>Identificar variações de sons de grafema no caso de correspondências irregulares entre grafemas e fonemas (sons do z – s/z/x; sons do s – ss/c/ç/sc/sç/x/xc).</x:v>
      </x:c>
      <x:c r="J74" t="str">
        <x:v>EF05LP01</x:v>
      </x:c>
      <x:c r="K74" t="str">
        <x:v>Grafar palavras utilizando regras de correspondência fonema-grafema regulares, contextuais e morfológicas e palavras de uso frequente com correspondências irregulares.</x:v>
      </x:c>
      <x:c r="L74" t="str">
        <x:v>Associação curricular documentada não demonstra equivalência integral, pré-requisito causal ou domínio individual da BNCC.</x:v>
      </x:c>
      <x:c r="M74" t="str">
        <x:v>mapeamento rastreado</x:v>
      </x:c>
      <x:c r="N74" t="str">
        <x:v>https://drive.google.com/file/d/1n8F2kDfidB84QrJTtrHgbhUHL2G311qV/view</x:v>
      </x:c>
    </x:row>
    <x:row r="75" ht="22" customHeight="1">
      <x:c r="A75" t="n">
        <x:v>4</x:v>
      </x:c>
      <x:c r="B75" t="str">
        <x:v>LEITURA</x:v>
      </x:c>
      <x:c r="C75" t="str">
        <x:v>H 07</x:v>
      </x:c>
      <x:c r="D75" t="n">
        <x:v>73</x:v>
      </x:c>
      <x:c r="E75" t="n">
        <x:v>84</x:v>
      </x:c>
      <x:c r="F75" t="n">
        <x:v>86.9</x:v>
      </x:c>
      <x:c r="G75" t="n">
        <x:v>-6.9</x:v>
      </x:c>
      <x:c r="H75" t="str">
        <x:v>3EF06_P</x:v>
      </x:c>
      <x:c r="I75" t="str">
        <x:v>Ler frases (sujeito, verbo, objeto direto e objeto indireto ou frase na ordem indireta).</x:v>
      </x:c>
      <x:c r="J75" t="str">
        <x:v>EF01LP02</x:v>
      </x:c>
      <x:c r="K75" t="str">
        <x:v>Escrever, espontaneamente ou por ditado, palavras e frases de forma alfabética – usando letras/grafemas que representem fonemas.</x:v>
      </x:c>
      <x:c r="L75" t="str">
        <x:v>O descritor CAEd trata de ler frases; o texto BNCC trata de escrever palavras/frases. Associação publicada preservada com ressalva semântica.</x:v>
      </x:c>
      <x:c r="M75" t="str">
        <x:v>mapeamento rastreado</x:v>
      </x:c>
      <x:c r="N75" t="str">
        <x:v>https://drive.google.com/file/d/1n8F2kDfidB84QrJTtrHgbhUHL2G311qV/view</x:v>
      </x:c>
    </x:row>
    <x:row r="76" ht="22" customHeight="1">
      <x:c r="A76" t="n">
        <x:v>4</x:v>
      </x:c>
      <x:c r="B76" t="str">
        <x:v>LEITURA</x:v>
      </x:c>
      <x:c r="C76" t="str">
        <x:v>H 08</x:v>
      </x:c>
      <x:c r="D76" t="n">
        <x:v>65</x:v>
      </x:c>
      <x:c r="E76" t="n">
        <x:v>84</x:v>
      </x:c>
      <x:c r="F76" t="n">
        <x:v>77.38</x:v>
      </x:c>
      <x:c r="G76" t="n">
        <x:v>2.62</x:v>
      </x:c>
      <x:c r="H76" t="str">
        <x:v>3EF09_P</x:v>
      </x:c>
      <x:c r="I76" t="str">
        <x:v>Reconhecer o assunto de notícias quando o assunto é apontado pela manchete.</x:v>
      </x:c>
      <x:c r="J76" t="str">
        <x:v>EF35LP03</x:v>
      </x:c>
      <x:c r="K76" t="str">
        <x:v>Identificar a ideia central do texto, demonstrando compreensão global.</x:v>
      </x:c>
      <x:c r="L76" t="str">
        <x:v>Associação curricular documentada não demonstra equivalência integral, pré-requisito causal ou domínio individual da BNCC.</x:v>
      </x:c>
      <x:c r="M76" t="str">
        <x:v>mapeamento rastreado</x:v>
      </x:c>
      <x:c r="N76" t="str">
        <x:v>https://drive.google.com/file/d/1n8F2kDfidB84QrJTtrHgbhUHL2G311qV/view</x:v>
      </x:c>
    </x:row>
    <x:row r="77" ht="22" customHeight="1">
      <x:c r="A77" t="n">
        <x:v>4</x:v>
      </x:c>
      <x:c r="B77" t="str">
        <x:v>LEITURA</x:v>
      </x:c>
      <x:c r="C77" t="str">
        <x:v>H 09</x:v>
      </x:c>
      <x:c r="D77" t="n">
        <x:v>57</x:v>
      </x:c>
      <x:c r="E77" t="n">
        <x:v>84</x:v>
      </x:c>
      <x:c r="F77" t="n">
        <x:v>67.86</x:v>
      </x:c>
      <x:c r="G77" t="n">
        <x:v>12.14</x:v>
      </x:c>
      <x:c r="H77" t="str">
        <x:v>3EF15_P</x:v>
      </x:c>
      <x:c r="I77" t="str">
        <x:v>Reconhecer o tempo e o lugar de narrativas ficcionais, quando há pistas textuais que evidenciam esses elementos.</x:v>
      </x:c>
      <x:c r="J77" t="str">
        <x:v>EF01LP26</x:v>
      </x:c>
      <x:c r="K77" t="str">
        <x:v>Identificar elementos de uma narrativa lida ou escutada, incluindo personagens, enredo, tempo e espaço.</x:v>
      </x:c>
      <x:c r="L77" t="str">
        <x:v>Associação curricular documentada não demonstra equivalência integral, pré-requisito causal ou domínio individual da BNCC.</x:v>
      </x:c>
      <x:c r="M77" t="str">
        <x:v>mapeamento rastreado</x:v>
      </x:c>
      <x:c r="N77" t="str">
        <x:v>https://drive.google.com/file/d/1n8F2kDfidB84QrJTtrHgbhUHL2G311qV/view</x:v>
      </x:c>
    </x:row>
    <x:row r="78" ht="22" customHeight="1">
      <x:c r="A78" t="n">
        <x:v>4</x:v>
      </x:c>
      <x:c r="B78" t="str">
        <x:v>LEITURA</x:v>
      </x:c>
      <x:c r="C78" t="str">
        <x:v>H 10</x:v>
      </x:c>
      <x:c r="D78" t="n">
        <x:v>47</x:v>
      </x:c>
      <x:c r="E78" t="n">
        <x:v>84</x:v>
      </x:c>
      <x:c r="F78" t="n">
        <x:v>55.95</x:v>
      </x:c>
      <x:c r="G78" t="n">
        <x:v>24.05</x:v>
      </x:c>
      <x:c r="H78" t="str">
        <x:v>3EF21_P</x:v>
      </x:c>
      <x:c r="I78" t="str">
        <x:v>Reconhecer o efeito de sentido produzido pelos pontos de exclamação e interrogação.</x:v>
      </x:c>
      <x:c r="J78" t="str">
        <x:v>EF01LP14</x:v>
      </x:c>
      <x:c r="K78" t="str">
        <x:v>Identificar outros sinais no texto além das letras, como pontos finais, de interrogação e exclamação e seus efeitos na entonação.</x:v>
      </x:c>
      <x:c r="L78" t="str">
        <x:v>Associação curricular documentada não demonstra equivalência integral, pré-requisito causal ou domínio individual da BNCC.</x:v>
      </x:c>
      <x:c r="M78" t="str">
        <x:v>mapeamento rastreado</x:v>
      </x:c>
      <x:c r="N78" t="str">
        <x:v>https://drive.google.com/file/d/1n8F2kDfidB84QrJTtrHgbhUHL2G311qV/view</x:v>
      </x:c>
    </x:row>
    <x:row r="79" ht="22" customHeight="1">
      <x:c r="A79" t="n">
        <x:v>4</x:v>
      </x:c>
      <x:c r="B79" t="str">
        <x:v>LEITURA</x:v>
      </x:c>
      <x:c r="C79" t="str">
        <x:v>H 11</x:v>
      </x:c>
      <x:c r="D79" t="n">
        <x:v>57</x:v>
      </x:c>
      <x:c r="E79" t="n">
        <x:v>84</x:v>
      </x:c>
      <x:c r="F79" t="n">
        <x:v>67.86</x:v>
      </x:c>
      <x:c r="G79" t="n">
        <x:v>12.14</x:v>
      </x:c>
      <x:c r="H79" t="str">
        <x:v>4EF10_P</x:v>
      </x:c>
      <x:c r="I79" t="str">
        <x:v>Inferir informação em texto exclusivamente verbal com base numa paráfrase, na dedução a partir de um enunciado ou na conexão entre enunciados.</x:v>
      </x:c>
      <x:c r="J79" t="str">
        <x:v>EF15LP03</x:v>
      </x:c>
      <x:c r="K79" t="str">
        <x:v>Localizar informações explícitas em textos.</x:v>
      </x:c>
      <x:c r="L79" t="str">
        <x:v>O descritor CAEd trata de inferência; o texto BNCC trata de localizar informações explícitas. Associação publicada preservada com ressalva semântica.</x:v>
      </x:c>
      <x:c r="M79" t="str">
        <x:v>mapeamento rastreado</x:v>
      </x:c>
      <x:c r="N79" t="str">
        <x:v>https://drive.google.com/file/d/1n8F2kDfidB84QrJTtrHgbhUHL2G311qV/view</x:v>
      </x:c>
    </x:row>
    <x:row r="80" ht="22" customHeight="1">
      <x:c r="A80" t="n">
        <x:v>4</x:v>
      </x:c>
      <x:c r="B80" t="str">
        <x:v>LEITURA</x:v>
      </x:c>
      <x:c r="C80" t="str">
        <x:v>H 12</x:v>
      </x:c>
      <x:c r="D80" t="n">
        <x:v>28</x:v>
      </x:c>
      <x:c r="E80" t="n">
        <x:v>42</x:v>
      </x:c>
      <x:c r="F80" t="n">
        <x:v>66.67</x:v>
      </x:c>
      <x:c r="G80" t="n">
        <x:v>13.33</x:v>
      </x:c>
      <x:c r="H80" t="str">
        <x:v>4EF22_P</x:v>
      </x:c>
      <x:c r="I80" t="str">
        <x:v>Reconhecer relações lógico-discursivas de causalidade marcadas por conjunções mais usuais em textos do campo da vida cotidiana e do campo artístico-literário.</x:v>
      </x:c>
      <x:c r="J80" t="str">
        <x:v>EF05LP07</x:v>
      </x:c>
      <x:c r="K80" t="str">
        <x:v>Identificar, em textos, o uso de conjunções e a relação que estabelecem entre partes do texto: adição, oposição, tempo, causa, condição, finalidade.</x:v>
      </x:c>
      <x:c r="L80" t="str">
        <x:v>Associação curricular documentada não demonstra equivalência integral, pré-requisito causal ou domínio individual da BNCC.</x:v>
      </x:c>
      <x:c r="M80" t="str">
        <x:v>mapeamento rastreado</x:v>
      </x:c>
      <x:c r="N80" t="str">
        <x:v>https://drive.google.com/file/d/1n8F2kDfidB84QrJTtrHgbhUHL2G311qV/view</x:v>
      </x:c>
    </x:row>
    <x:row r="81" ht="22" customHeight="1">
      <x:c r="A81" t="n">
        <x:v>4</x:v>
      </x:c>
      <x:c r="B81" t="str">
        <x:v>LEITURA</x:v>
      </x:c>
      <x:c r="C81" t="str">
        <x:v>H 13</x:v>
      </x:c>
      <x:c r="D81" t="n">
        <x:v>56</x:v>
      </x:c>
      <x:c r="E81" t="n">
        <x:v>84</x:v>
      </x:c>
      <x:c r="F81" t="n">
        <x:v>66.67</x:v>
      </x:c>
      <x:c r="G81" t="n">
        <x:v>13.33</x:v>
      </x:c>
      <x:c r="H81" t="str">
        <x:v>4EF24_P</x:v>
      </x:c>
      <x:c r="I81" t="str">
        <x:v>Identificar o referente de pronomes pessoais do caso reto (anafórico) com referente próximo em textos do campo da vida cotidiana e do campo artístico literário.</x:v>
      </x:c>
      <x:c r="J81" t="str">
        <x:v>EF35LP14</x:v>
      </x:c>
      <x:c r="K81" t="str">
        <x:v>Identificar em textos e usar na produção textual pronomes pessoais, possessivos e demonstrativos, como recurso coesivo anafórico.</x:v>
      </x:c>
      <x:c r="L81" t="str">
        <x:v>Associação curricular documentada não demonstra equivalência integral, pré-requisito causal ou domínio individual da BNCC.</x:v>
      </x:c>
      <x:c r="M81" t="str">
        <x:v>mapeamento rastreado</x:v>
      </x:c>
      <x:c r="N81" t="str">
        <x:v>https://drive.google.com/file/d/1n8F2kDfidB84QrJTtrHgbhUHL2G311qV/view</x:v>
      </x:c>
    </x:row>
    <x:row r="82" ht="22" customHeight="1">
      <x:c r="A82" t="n">
        <x:v>4</x:v>
      </x:c>
      <x:c r="B82" t="str">
        <x:v>LEITURA</x:v>
      </x:c>
      <x:c r="C82"/>
      <x:c r="D82" t="n">
        <x:v>633</x:v>
      </x:c>
      <x:c r="E82" t="n">
        <x:v>924</x:v>
      </x:c>
      <x:c r="F82" t="n">
        <x:v>68.51</x:v>
      </x:c>
      <x:c r="G82" t="n">
        <x:v>11.49</x:v>
      </x:c>
      <x:c r="H82" t="str"/>
      <x:c r="I82" t="str"/>
      <x:c r="J82" t="str"/>
      <x:c r="K82" t="str"/>
      <x:c r="L82" t="str"/>
      <x:c r="M82" t="str">
        <x:v>sem vínculo validado</x:v>
      </x:c>
      <x:c r="N82" t="str">
        <x:v>https://drive.google.com/file/d/1n8F2kDfidB84QrJTtrHgbhUHL2G311qV/view</x:v>
      </x:c>
    </x:row>
    <x:row r="83" ht="22" customHeight="1">
      <x:c r="A83" t="n">
        <x:v>4</x:v>
      </x:c>
      <x:c r="B83" t="str">
        <x:v>MATEMATICA</x:v>
      </x:c>
      <x:c r="C83" t="str">
        <x:v>H 01</x:v>
      </x:c>
      <x:c r="D83" t="n">
        <x:v>32</x:v>
      </x:c>
      <x:c r="E83" t="n">
        <x:v>42</x:v>
      </x:c>
      <x:c r="F83" t="n">
        <x:v>76.19</x:v>
      </x:c>
      <x:c r="G83" t="n">
        <x:v>3.81</x:v>
      </x:c>
      <x:c r="H83" t="str">
        <x:v>3EF06_M</x:v>
      </x:c>
      <x:c r="I83" t="str">
        <x:v>Efetuar a operação de adição entre números naturais formados por até quatro algarismos.</x:v>
      </x:c>
      <x:c r="J83" t="str">
        <x:v>EF03MA05</x:v>
      </x:c>
      <x:c r="K83" t="str">
        <x:v>Utilizar diferentes procedimentos de cálculo mental e escrito, inclusive os convencionais, para resolver problemas significativos envolvendo adição e subtração com números naturais.</x:v>
      </x:c>
      <x:c r="L83" t="str">
        <x:v>Associação curricular documentada não demonstra equivalência integral, pré-requisito causal ou domínio individual da BNCC.</x:v>
      </x:c>
      <x:c r="M83" t="str">
        <x:v>mapeamento rastreado</x:v>
      </x:c>
      <x:c r="N83" t="str">
        <x:v>https://drive.google.com/file/d/1n8F2kDfidB84QrJTtrHgbhUHL2G311qV/view</x:v>
      </x:c>
    </x:row>
    <x:row r="84" ht="22" customHeight="1">
      <x:c r="A84" t="n">
        <x:v>4</x:v>
      </x:c>
      <x:c r="B84" t="str">
        <x:v>MATEMATICA</x:v>
      </x:c>
      <x:c r="C84" t="str">
        <x:v>H 02</x:v>
      </x:c>
      <x:c r="D84" t="n">
        <x:v>35</x:v>
      </x:c>
      <x:c r="E84" t="n">
        <x:v>42</x:v>
      </x:c>
      <x:c r="F84" t="n">
        <x:v>83.33</x:v>
      </x:c>
      <x:c r="G84" t="n">
        <x:v>-3.33</x:v>
      </x:c>
      <x:c r="H84" t="str">
        <x:v>3EF07_M</x:v>
      </x:c>
      <x:c r="I84" t="str">
        <x:v>Utilizar a operação de adição entre números naturais, formados por até quatro algarismos, envolvendo o significado de juntar ou de acrescentar, na resolução de problema.</x:v>
      </x:c>
      <x:c r="J84" t="str">
        <x:v>EF03MA06</x:v>
      </x:c>
      <x:c r="K84" t="str">
        <x:v>Resolver e elaborar problemas de adição e subtração com os significados de juntar, acrescentar, separar, retirar, comparar e completar quantidades, utilizando diferentes estratégias de cálculo exato ou aproximado, incluindo cálculo mental.</x:v>
      </x:c>
      <x:c r="L84" t="str">
        <x:v>Associação curricular documentada não demonstra equivalência integral, pré-requisito causal ou domínio individual da BNCC.</x:v>
      </x:c>
      <x:c r="M84" t="str">
        <x:v>mapeamento rastreado</x:v>
      </x:c>
      <x:c r="N84" t="str">
        <x:v>https://drive.google.com/file/d/1n8F2kDfidB84QrJTtrHgbhUHL2G311qV/view</x:v>
      </x:c>
    </x:row>
    <x:row r="85" ht="22" customHeight="1">
      <x:c r="A85" t="n">
        <x:v>4</x:v>
      </x:c>
      <x:c r="B85" t="str">
        <x:v>MATEMATICA</x:v>
      </x:c>
      <x:c r="C85" t="str">
        <x:v>H 03</x:v>
      </x:c>
      <x:c r="D85" t="n">
        <x:v>21</x:v>
      </x:c>
      <x:c r="E85" t="n">
        <x:v>42</x:v>
      </x:c>
      <x:c r="F85" t="n">
        <x:v>50</x:v>
      </x:c>
      <x:c r="G85" t="n">
        <x:v>30</x:v>
      </x:c>
      <x:c r="H85" t="str">
        <x:v>3EF08_M</x:v>
      </x:c>
      <x:c r="I85" t="str">
        <x:v>Efetuar a operação de subtração entre números naturais formados por até quatro algarismos.</x:v>
      </x:c>
      <x:c r="J85" t="str">
        <x:v>EF03MA05</x:v>
      </x:c>
      <x:c r="K85" t="str">
        <x:v>Utilizar diferentes procedimentos de cálculo mental e escrito, inclusive os convencionais, para resolver problemas significativos envolvendo adição e subtração com números naturais.</x:v>
      </x:c>
      <x:c r="L85" t="str">
        <x:v>Associação curricular documentada não demonstra equivalência integral, pré-requisito causal ou domínio individual da BNCC.</x:v>
      </x:c>
      <x:c r="M85" t="str">
        <x:v>mapeamento rastreado</x:v>
      </x:c>
      <x:c r="N85" t="str">
        <x:v>https://drive.google.com/file/d/1n8F2kDfidB84QrJTtrHgbhUHL2G311qV/view</x:v>
      </x:c>
    </x:row>
    <x:row r="86" ht="22" customHeight="1">
      <x:c r="A86" t="n">
        <x:v>4</x:v>
      </x:c>
      <x:c r="B86" t="str">
        <x:v>MATEMATICA</x:v>
      </x:c>
      <x:c r="C86" t="str">
        <x:v>H 04</x:v>
      </x:c>
      <x:c r="D86" t="n">
        <x:v>23</x:v>
      </x:c>
      <x:c r="E86" t="n">
        <x:v>42</x:v>
      </x:c>
      <x:c r="F86" t="n">
        <x:v>54.76</x:v>
      </x:c>
      <x:c r="G86" t="n">
        <x:v>25.24</x:v>
      </x:c>
      <x:c r="H86" t="str">
        <x:v>3EF09_M</x:v>
      </x:c>
      <x:c r="I86" t="str">
        <x:v>Utilizar a operação de subtração entre números naturais, formados por até quatro algarismos, envolvendo o significado de separar, de retirar, de comparar ou de completar, na resolução de problema.</x:v>
      </x:c>
      <x:c r="J86" t="str">
        <x:v>EF03MA06</x:v>
      </x:c>
      <x:c r="K86" t="str">
        <x:v>Resolver e elaborar problemas de adição e subtração com os significados de juntar, acrescentar, separar, retirar, comparar e completar quantidades, utilizando diferentes estratégias de cálculo exato ou aproximado, incluindo cálculo mental.</x:v>
      </x:c>
      <x:c r="L86" t="str">
        <x:v>Associação curricular documentada não demonstra equivalência integral, pré-requisito causal ou domínio individual da BNCC.</x:v>
      </x:c>
      <x:c r="M86" t="str">
        <x:v>mapeamento rastreado</x:v>
      </x:c>
      <x:c r="N86" t="str">
        <x:v>https://drive.google.com/file/d/1n8F2kDfidB84QrJTtrHgbhUHL2G311qV/view</x:v>
      </x:c>
    </x:row>
    <x:row r="87" ht="22" customHeight="1">
      <x:c r="A87" t="n">
        <x:v>4</x:v>
      </x:c>
      <x:c r="B87" t="str">
        <x:v>MATEMATICA</x:v>
      </x:c>
      <x:c r="C87" t="str">
        <x:v>H 05</x:v>
      </x:c>
      <x:c r="D87" t="n">
        <x:v>54</x:v>
      </x:c>
      <x:c r="E87" t="n">
        <x:v>84</x:v>
      </x:c>
      <x:c r="F87" t="n">
        <x:v>64.29</x:v>
      </x:c>
      <x:c r="G87" t="n">
        <x:v>15.71</x:v>
      </x:c>
      <x:c r="H87" t="str">
        <x:v>3EF11_M</x:v>
      </x:c>
      <x:c r="I87" t="str">
        <x:v>Determinar termos ausentes em sequências de números naturais, formados por até quatro algarismos, resultantes de adições ou de subtrações sucessivas por um mesmo número.</x:v>
      </x:c>
      <x:c r="J87" t="str">
        <x:v>EF03MA10</x:v>
      </x:c>
      <x:c r="K87" t="str">
        <x:v>Identificar regularidades em sequências ordenadas de números naturais, resultantes da realização de adições ou subtrações sucessivas, por um mesmo número, descrever uma regra de formação da sequência e determinar elementos faltantes ou seguintes.</x:v>
      </x:c>
      <x:c r="L87" t="str">
        <x:v>Associação curricular documentada não demonstra equivalência integral, pré-requisito causal ou domínio individual da BNCC.</x:v>
      </x:c>
      <x:c r="M87" t="str">
        <x:v>mapeamento rastreado</x:v>
      </x:c>
      <x:c r="N87" t="str">
        <x:v>https://drive.google.com/file/d/1n8F2kDfidB84QrJTtrHgbhUHL2G311qV/view</x:v>
      </x:c>
    </x:row>
    <x:row r="88" ht="22" customHeight="1">
      <x:c r="A88" t="n">
        <x:v>4</x:v>
      </x:c>
      <x:c r="B88" t="str">
        <x:v>MATEMATICA</x:v>
      </x:c>
      <x:c r="C88" t="str">
        <x:v>H 06</x:v>
      </x:c>
      <x:c r="D88" t="n">
        <x:v>31</x:v>
      </x:c>
      <x:c r="E88" t="n">
        <x:v>84</x:v>
      </x:c>
      <x:c r="F88" t="n">
        <x:v>36.9</x:v>
      </x:c>
      <x:c r="G88" t="n">
        <x:v>43.1</x:v>
      </x:c>
      <x:c r="H88" t="str">
        <x:v>3EF12_M</x:v>
      </x:c>
      <x:c r="I88" t="str">
        <x:v>Interpretar movimentação de pessoas, animais ou objetos no espaço, considerando mais de um ponto de referência e noções de orientação, indicando sua posição após finalizada a movimentação.</x:v>
      </x:c>
      <x:c r="J88" t="str">
        <x:v>EF02MA12</x:v>
      </x:c>
      <x:c r="K88" t="str">
        <x:v>Identificar e registrar, em linguagem verbal ou não verbal, a localização e os deslocamentos de pessoas e de objetos no espaço, considerando mais de um ponto de referência, e indicar as mudanças de direção e de sentido.</x:v>
      </x:c>
      <x:c r="L88" t="str">
        <x:v>Associação curricular documentada não demonstra equivalência integral, pré-requisito causal ou domínio individual da BNCC.</x:v>
      </x:c>
      <x:c r="M88" t="str">
        <x:v>mapeamento rastreado</x:v>
      </x:c>
      <x:c r="N88" t="str">
        <x:v>https://drive.google.com/file/d/1n8F2kDfidB84QrJTtrHgbhUHL2G311qV/view</x:v>
      </x:c>
    </x:row>
    <x:row r="89" ht="22" customHeight="1">
      <x:c r="A89" t="n">
        <x:v>4</x:v>
      </x:c>
      <x:c r="B89" t="str">
        <x:v>MATEMATICA</x:v>
      </x:c>
      <x:c r="C89" t="str">
        <x:v>H 07</x:v>
      </x:c>
      <x:c r="D89" t="n">
        <x:v>66</x:v>
      </x:c>
      <x:c r="E89" t="n">
        <x:v>84</x:v>
      </x:c>
      <x:c r="F89" t="n">
        <x:v>78.57</x:v>
      </x:c>
      <x:c r="G89" t="n">
        <x:v>1.43</x:v>
      </x:c>
      <x:c r="H89" t="str">
        <x:v>3EF13_M</x:v>
      </x:c>
      <x:c r="I89" t="str">
        <x:v>Reconhecer figura geométrica espacial (cone, cilindro, esfera, cubo, bloco retangular ou pirâmide).</x:v>
      </x:c>
      <x:c r="J89" t="str">
        <x:v>EF03MA13</x:v>
      </x:c>
      <x:c r="K89" t="str">
        <x:v>Associar figuras geométricas espaciais (cubo, bloco retangular, pirâmide, cone, cilindro e esfera) a objetos do mundo físico e nomear essas figuras.</x:v>
      </x:c>
      <x:c r="L89" t="str">
        <x:v>Associação curricular documentada não demonstra equivalência integral, pré-requisito causal ou domínio individual da BNCC.</x:v>
      </x:c>
      <x:c r="M89" t="str">
        <x:v>mapeamento rastreado</x:v>
      </x:c>
      <x:c r="N89" t="str">
        <x:v>https://drive.google.com/file/d/1n8F2kDfidB84QrJTtrHgbhUHL2G311qV/view</x:v>
      </x:c>
    </x:row>
    <x:row r="90" ht="22" customHeight="1">
      <x:c r="A90" t="n">
        <x:v>4</x:v>
      </x:c>
      <x:c r="B90" t="str">
        <x:v>MATEMATICA</x:v>
      </x:c>
      <x:c r="C90" t="str">
        <x:v>H 08</x:v>
      </x:c>
      <x:c r="D90" t="n">
        <x:v>37</x:v>
      </x:c>
      <x:c r="E90" t="n">
        <x:v>42</x:v>
      </x:c>
      <x:c r="F90" t="n">
        <x:v>88.1</x:v>
      </x:c>
      <x:c r="G90" t="n">
        <x:v>-8.1</x:v>
      </x:c>
      <x:c r="H90" t="str">
        <x:v>3EF14_M</x:v>
      </x:c>
      <x:c r="I90" t="str">
        <x:v>Reconhecer figuras geométricas planas (triângulo, quadrado, retângulo, trapézio ou paralelogramo) desenhadas em diferentes disposições.</x:v>
      </x:c>
      <x:c r="J90" t="str">
        <x:v>EF03MA15</x:v>
      </x:c>
      <x:c r="K90" t="str">
        <x:v>Classificar e comparar figuras planas (triângulo, quadrado, retângulo, trapézio e paralelogramo) em relação a seus lados (quantidade, posições relativas e comprimento) e vértices.</x:v>
      </x:c>
      <x:c r="L90" t="str">
        <x:v>Associação curricular documentada não demonstra equivalência integral, pré-requisito causal ou domínio individual da BNCC.</x:v>
      </x:c>
      <x:c r="M90" t="str">
        <x:v>mapeamento rastreado</x:v>
      </x:c>
      <x:c r="N90" t="str">
        <x:v>https://drive.google.com/file/d/1n8F2kDfidB84QrJTtrHgbhUHL2G311qV/view</x:v>
      </x:c>
    </x:row>
    <x:row r="91" ht="22" customHeight="1">
      <x:c r="A91" t="n">
        <x:v>4</x:v>
      </x:c>
      <x:c r="B91" t="str">
        <x:v>MATEMATICA</x:v>
      </x:c>
      <x:c r="C91" t="str">
        <x:v>H 09</x:v>
      </x:c>
      <x:c r="D91" t="n">
        <x:v>52</x:v>
      </x:c>
      <x:c r="E91" t="n">
        <x:v>84</x:v>
      </x:c>
      <x:c r="F91" t="n">
        <x:v>61.9</x:v>
      </x:c>
      <x:c r="G91" t="n">
        <x:v>18.1</x:v>
      </x:c>
      <x:c r="H91" t="str">
        <x:v>3EF16_M</x:v>
      </x:c>
      <x:c r="I91" t="str">
        <x:v>Reconhecer horário em relógio digital ou analógico (hora e minuto).</x:v>
      </x:c>
      <x:c r="J91" t="str">
        <x:v>EF02MA19, EF03MA23</x:v>
      </x:c>
      <x:c r="K91" t="str">
        <x:v>Medir a duração de um intervalo de tempo por meio de relógio digital e registrar o horário do início e do fim do intervalo. | Ler horas em relógios digitais e em relógios analógicos e reconhecer a relação entre hora e minutos e entre minuto e segundos.</x:v>
      </x:c>
      <x:c r="L91" t="str">
        <x:v>Associação curricular documentada não demonstra equivalência integral, pré-requisito causal ou domínio individual da BNCC.</x:v>
      </x:c>
      <x:c r="M91" t="str">
        <x:v>mapeamento rastreado</x:v>
      </x:c>
      <x:c r="N91" t="str">
        <x:v>https://drive.google.com/file/d/1n8F2kDfidB84QrJTtrHgbhUHL2G311qV/view</x:v>
      </x:c>
    </x:row>
    <x:row r="92" ht="22" customHeight="1">
      <x:c r="A92" t="n">
        <x:v>4</x:v>
      </x:c>
      <x:c r="B92" t="str">
        <x:v>MATEMATICA</x:v>
      </x:c>
      <x:c r="C92" t="str">
        <x:v>H 10</x:v>
      </x:c>
      <x:c r="D92" t="n">
        <x:v>30</x:v>
      </x:c>
      <x:c r="E92" t="n">
        <x:v>84</x:v>
      </x:c>
      <x:c r="F92" t="n">
        <x:v>35.71</x:v>
      </x:c>
      <x:c r="G92" t="n">
        <x:v>44.29</x:v>
      </x:c>
      <x:c r="H92" t="str">
        <x:v>3EF17_M</x:v>
      </x:c>
      <x:c r="I92" t="str">
        <x:v>Interpretar dados estatísticos dispostos em tabelas de dupla entrada.</x:v>
      </x:c>
      <x:c r="J92" t="str">
        <x:v>EF03MA27</x:v>
      </x:c>
      <x:c r="K92" t="str">
        <x:v>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x:v>
      </x:c>
      <x:c r="L92" t="str">
        <x:v>Associação curricular documentada não demonstra equivalência integral, pré-requisito causal ou domínio individual da BNCC.</x:v>
      </x:c>
      <x:c r="M92" t="str">
        <x:v>mapeamento rastreado</x:v>
      </x:c>
      <x:c r="N92" t="str">
        <x:v>https://drive.google.com/file/d/1n8F2kDfidB84QrJTtrHgbhUHL2G311qV/view</x:v>
      </x:c>
    </x:row>
    <x:row r="93" ht="22" customHeight="1">
      <x:c r="A93" t="n">
        <x:v>4</x:v>
      </x:c>
      <x:c r="B93" t="str">
        <x:v>MATEMATICA</x:v>
      </x:c>
      <x:c r="C93" t="str">
        <x:v>H 11</x:v>
      </x:c>
      <x:c r="D93" t="n">
        <x:v>63</x:v>
      </x:c>
      <x:c r="E93" t="n">
        <x:v>84</x:v>
      </x:c>
      <x:c r="F93" t="n">
        <x:v>75</x:v>
      </x:c>
      <x:c r="G93" t="n">
        <x:v>5</x:v>
      </x:c>
      <x:c r="H93" t="str">
        <x:v>4EF02_M</x:v>
      </x:c>
      <x:c r="I93" t="str">
        <x:v>Corresponder composições a decomposições de números naturais formados por até cinco algarismos.</x:v>
      </x:c>
      <x:c r="J93" t="str">
        <x:v>EF03MA02, EF04MA02</x:v>
      </x:c>
      <x:c r="K93" t="str">
        <x:v>Identificar características do sistema de numeração decimal, utilizando a composição e a decomposição de número natural de até quatro ordens. | Mostrar, por decomposição e composição, que todo número natural pode ser escrito por meio de adições e multiplicações por potências de dez, para compreender o sistema de numeração decimal e desenvolver estratégias de cálculo.</x:v>
      </x:c>
      <x:c r="L93" t="str">
        <x:v>Associação curricular documentada não demonstra equivalência integral, pré-requisito causal ou domínio individual da BNCC.</x:v>
      </x:c>
      <x:c r="M93" t="str">
        <x:v>mapeamento rastreado</x:v>
      </x:c>
      <x:c r="N93" t="str">
        <x:v>https://drive.google.com/file/d/1n8F2kDfidB84QrJTtrHgbhUHL2G311qV/view</x:v>
      </x:c>
    </x:row>
    <x:row r="94" ht="22" customHeight="1">
      <x:c r="A94" t="n">
        <x:v>4</x:v>
      </x:c>
      <x:c r="B94" t="str">
        <x:v>MATEMATICA</x:v>
      </x:c>
      <x:c r="C94" t="str">
        <x:v>H 12</x:v>
      </x:c>
      <x:c r="D94" t="n">
        <x:v>27</x:v>
      </x:c>
      <x:c r="E94" t="n">
        <x:v>42</x:v>
      </x:c>
      <x:c r="F94" t="n">
        <x:v>64.29</x:v>
      </x:c>
      <x:c r="G94" t="n">
        <x:v>15.71</x:v>
      </x:c>
      <x:c r="H94" t="str">
        <x:v>4EF03_M</x:v>
      </x:c>
      <x:c r="I94" t="str">
        <x:v>Identificar a ordem ocupada por um algarismo ou o algarismo que ocupa uma determinada ordem, em um número natural formado por até cinco algarismos.</x:v>
      </x:c>
      <x:c r="J94" t="str">
        <x:v>EF03MA02, EF04MA02</x:v>
      </x:c>
      <x:c r="K94" t="str">
        <x:v>Identificar características do sistema de numeração decimal, utilizando a composição e a decomposição de número natural de até quatro ordens. | Mostrar, por decomposição e composição, que todo número natural pode ser escrito por meio de adições e multiplicações por potências de dez, para compreender o sistema de numeração decimal e desenvolver estratégias de cálculo.</x:v>
      </x:c>
      <x:c r="L94" t="str">
        <x:v>Associação curricular documentada não demonstra equivalência integral, pré-requisito causal ou domínio individual da BNCC.</x:v>
      </x:c>
      <x:c r="M94" t="str">
        <x:v>mapeamento rastreado</x:v>
      </x:c>
      <x:c r="N94" t="str">
        <x:v>https://drive.google.com/file/d/1n8F2kDfidB84QrJTtrHgbhUHL2G311qV/view</x:v>
      </x:c>
    </x:row>
    <x:row r="95" ht="22" customHeight="1">
      <x:c r="A95" t="n">
        <x:v>4</x:v>
      </x:c>
      <x:c r="B95" t="str">
        <x:v>MATEMATICA</x:v>
      </x:c>
      <x:c r="C95" t="str">
        <x:v>H 13</x:v>
      </x:c>
      <x:c r="D95" t="n">
        <x:v>33</x:v>
      </x:c>
      <x:c r="E95" t="n">
        <x:v>42</x:v>
      </x:c>
      <x:c r="F95" t="n">
        <x:v>78.57</x:v>
      </x:c>
      <x:c r="G95" t="n">
        <x:v>1.43</x:v>
      </x:c>
      <x:c r="H95" t="str">
        <x:v>4EF04_M</x:v>
      </x:c>
      <x:c r="I95" t="str">
        <x:v>Identificar o valor posicional de um algarismo em um número natural formado por até cinco algarismos.</x:v>
      </x:c>
      <x:c r="J95" t="str">
        <x:v>EF03MA02, EF04MA02</x:v>
      </x:c>
      <x:c r="K95" t="str">
        <x:v>Identificar características do sistema de numeração decimal, utilizando a composição e a decomposição de número natural de até quatro ordens. | Mostrar, por decomposição e composição, que todo número natural pode ser escrito por meio de adições e multiplicações por potências de dez, para compreender o sistema de numeração decimal e desenvolver estratégias de cálculo.</x:v>
      </x:c>
      <x:c r="L95" t="str">
        <x:v>Associação curricular documentada não demonstra equivalência integral, pré-requisito causal ou domínio individual da BNCC.</x:v>
      </x:c>
      <x:c r="M95" t="str">
        <x:v>mapeamento rastreado</x:v>
      </x:c>
      <x:c r="N95" t="str">
        <x:v>https://drive.google.com/file/d/1n8F2kDfidB84QrJTtrHgbhUHL2G311qV/view</x:v>
      </x:c>
    </x:row>
    <x:row r="96" ht="22" customHeight="1">
      <x:c r="A96" t="n">
        <x:v>4</x:v>
      </x:c>
      <x:c r="B96" t="str">
        <x:v>MATEMATICA</x:v>
      </x:c>
      <x:c r="C96" t="str">
        <x:v>H 14</x:v>
      </x:c>
      <x:c r="D96" t="n">
        <x:v>35</x:v>
      </x:c>
      <x:c r="E96" t="n">
        <x:v>42</x:v>
      </x:c>
      <x:c r="F96" t="n">
        <x:v>83.33</x:v>
      </x:c>
      <x:c r="G96" t="n">
        <x:v>-3.33</x:v>
      </x:c>
      <x:c r="H96" t="str">
        <x:v>4EF05_M</x:v>
      </x:c>
      <x:c r="I96" t="str">
        <x:v>Corresponder número natural, formado por até cinco algarismos, à sua escrita por extenso.</x:v>
      </x:c>
      <x:c r="J96" t="str">
        <x:v>EF03MA01, EF04MA01</x:v>
      </x:c>
      <x:c r="K96" t="str">
        <x:v>Ler, escrever e comparar números naturais de até a ordem de unidade de milhar, estabelecendo relações entre os registros numéricos e em língua materna. | Ler, escrever e ordenar números naturais até a ordem de dezenas de milhar.</x:v>
      </x:c>
      <x:c r="L96" t="str">
        <x:v>Associação curricular documentada não demonstra equivalência integral, pré-requisito causal ou domínio individual da BNCC.</x:v>
      </x:c>
      <x:c r="M96" t="str">
        <x:v>mapeamento rastreado</x:v>
      </x:c>
      <x:c r="N96" t="str">
        <x:v>https://drive.google.com/file/d/1n8F2kDfidB84QrJTtrHgbhUHL2G311qV/view</x:v>
      </x:c>
    </x:row>
    <x:row r="97" ht="22" customHeight="1">
      <x:c r="A97" t="n">
        <x:v>4</x:v>
      </x:c>
      <x:c r="B97" t="str">
        <x:v>MATEMATICA</x:v>
      </x:c>
      <x:c r="C97" t="str">
        <x:v>H 15</x:v>
      </x:c>
      <x:c r="D97" t="n">
        <x:v>41</x:v>
      </x:c>
      <x:c r="E97" t="n">
        <x:v>84</x:v>
      </x:c>
      <x:c r="F97" t="n">
        <x:v>48.81</x:v>
      </x:c>
      <x:c r="G97" t="n">
        <x:v>31.19</x:v>
      </x:c>
      <x:c r="H97" t="str">
        <x:v>4EF07_M</x:v>
      </x:c>
      <x:c r="I97" t="str">
        <x:v>Utilizar a operação de multiplicação entre números naturais, formados por até quatro algarismos, envolvendo o significado de adição de parcelas iguais, de organização retangular ou de proporcionalidade, na resolução de problema.</x:v>
      </x:c>
      <x:c r="J97" t="str">
        <x:v>EF02MA07, EF03MA07, EF04MA06</x:v>
      </x:c>
      <x:c r="K97" t="str">
        <x:v>Resolver e elaborar problemas de multiplicação (por 2, 3, 4 e 5) com a ideia de adição de parcelas iguais por meio de estratégias e formas de registro pessoais, utilizando ou não suporte de imagens e/ou material manipulável. | Resolver e elaborar problemas de multiplicação (por 2, 3, 4, 5 e 10) com os significados de adição de parcelas iguais e elementos apresentados em disposição retangular, utilizando diferentes es</x:v>
      </x:c>
      <x:c r="L97" t="str">
        <x:v>Associação curricular documentada não demonstra equivalência integral, pré-requisito causal ou domínio individual da BNCC.</x:v>
      </x:c>
      <x:c r="M97" t="str">
        <x:v>mapeamento rastreado</x:v>
      </x:c>
      <x:c r="N97" t="str">
        <x:v>https://drive.google.com/file/d/1n8F2kDfidB84QrJTtrHgbhUHL2G311qV/view</x:v>
      </x:c>
    </x:row>
    <x:row r="98" ht="22" customHeight="1">
      <x:c r="A98" t="n">
        <x:v>4</x:v>
      </x:c>
      <x:c r="B98" t="str">
        <x:v>MATEMATICA</x:v>
      </x:c>
      <x:c r="C98"/>
      <x:c r="D98" t="n">
        <x:v>580</x:v>
      </x:c>
      <x:c r="E98" t="n">
        <x:v>924</x:v>
      </x:c>
      <x:c r="F98" t="n">
        <x:v>62.77</x:v>
      </x:c>
      <x:c r="G98" t="n">
        <x:v>17.23</x:v>
      </x:c>
      <x:c r="H98" t="str"/>
      <x:c r="I98" t="str"/>
      <x:c r="J98" t="str"/>
      <x:c r="K98" t="str"/>
      <x:c r="L98" t="str"/>
      <x:c r="M98" t="str">
        <x:v>sem vínculo validado</x:v>
      </x:c>
      <x:c r="N98" t="str">
        <x:v>https://drive.google.com/file/d/1n8F2kDfidB84QrJTtrHgbhUHL2G311qV/view</x:v>
      </x:c>
    </x:row>
    <x:row r="99" ht="22" customHeight="1">
      <x:c r="A99" t="n">
        <x:v>5</x:v>
      </x:c>
      <x:c r="B99" t="str">
        <x:v>LEITURA</x:v>
      </x:c>
      <x:c r="C99" t="str">
        <x:v>H 01</x:v>
      </x:c>
      <x:c r="D99" t="n">
        <x:v>82</x:v>
      </x:c>
      <x:c r="E99" t="n">
        <x:v>106</x:v>
      </x:c>
      <x:c r="F99" t="n">
        <x:v>77.36</x:v>
      </x:c>
      <x:c r="G99" t="n">
        <x:v>2.64</x:v>
      </x:c>
      <x:c r="H99" t="str">
        <x:v>2EF08_P</x:v>
      </x:c>
      <x:c r="I99" t="str">
        <x:v>Localizar informações explícitas em textos, recuperadas por meio de paráfrase.</x:v>
      </x:c>
      <x:c r="J99" t="str">
        <x:v>EF15LP03</x:v>
      </x:c>
      <x:c r="K99" t="str">
        <x:v>Localizar informações explícitas em textos.</x:v>
      </x:c>
      <x:c r="L99" t="str">
        <x:v>Associação curricular documentada não demonstra equivalência integral, pré-requisito causal ou domínio individual da BNCC.</x:v>
      </x:c>
      <x:c r="M99" t="str">
        <x:v>mapeamento rastreado</x:v>
      </x:c>
      <x:c r="N99" t="str">
        <x:v>https://drive.google.com/file/d/1n8F2kDfidB84QrJTtrHgbhUHL2G311qV/view</x:v>
      </x:c>
    </x:row>
    <x:row r="100" ht="22" customHeight="1">
      <x:c r="A100" t="n">
        <x:v>5</x:v>
      </x:c>
      <x:c r="B100" t="str">
        <x:v>LEITURA</x:v>
      </x:c>
      <x:c r="C100" t="str">
        <x:v>H 02</x:v>
      </x:c>
      <x:c r="D100" t="n">
        <x:v>47</x:v>
      </x:c>
      <x:c r="E100" t="n">
        <x:v>53</x:v>
      </x:c>
      <x:c r="F100" t="n">
        <x:v>88.68</x:v>
      </x:c>
      <x:c r="G100" t="n">
        <x:v>-8.68</x:v>
      </x:c>
      <x:c r="H100" t="str">
        <x:v>3EF06_P</x:v>
      </x:c>
      <x:c r="I100" t="str">
        <x:v>Ler frases (sujeito, verbo, objeto direto e objeto indireto ou frase na ordem indireta).</x:v>
      </x:c>
      <x:c r="J100" t="str">
        <x:v>EF01LP02</x:v>
      </x:c>
      <x:c r="K100" t="str">
        <x:v>Escrever, espontaneamente ou por ditado, palavras e frases de forma alfabética – usando letras/grafemas que representem fonemas.</x:v>
      </x:c>
      <x:c r="L100" t="str">
        <x:v>O descritor CAEd trata de ler frases; o texto BNCC trata de escrever palavras/frases. Associação publicada preservada com ressalva semântica.</x:v>
      </x:c>
      <x:c r="M100" t="str">
        <x:v>mapeamento rastreado</x:v>
      </x:c>
      <x:c r="N100" t="str">
        <x:v>https://drive.google.com/file/d/1n8F2kDfidB84QrJTtrHgbhUHL2G311qV/view</x:v>
      </x:c>
    </x:row>
    <x:row r="101" ht="22" customHeight="1">
      <x:c r="A101" t="n">
        <x:v>5</x:v>
      </x:c>
      <x:c r="B101" t="str">
        <x:v>LEITURA</x:v>
      </x:c>
      <x:c r="C101" t="str">
        <x:v>H 03</x:v>
      </x:c>
      <x:c r="D101" t="n">
        <x:v>46</x:v>
      </x:c>
      <x:c r="E101" t="n">
        <x:v>53</x:v>
      </x:c>
      <x:c r="F101" t="n">
        <x:v>86.79</x:v>
      </x:c>
      <x:c r="G101" t="n">
        <x:v>-6.79</x:v>
      </x:c>
      <x:c r="H101" t="str">
        <x:v>3EF09_P</x:v>
      </x:c>
      <x:c r="I101" t="str">
        <x:v>Reconhecer o assunto de notícias quando o assunto é apontado pela manchete.</x:v>
      </x:c>
      <x:c r="J101" t="str">
        <x:v>EF35LP03</x:v>
      </x:c>
      <x:c r="K101" t="str">
        <x:v>Identificar a ideia central do texto, demonstrando compreensão global.</x:v>
      </x:c>
      <x:c r="L101" t="str">
        <x:v>Fonte anterior; integração a confirmar. A nota geral não confirma aplicabilidade individual ao ano avaliado.</x:v>
      </x:c>
      <x:c r="M101" t="str">
        <x:v>mapeamento rastreado</x:v>
      </x:c>
      <x:c r="N101" t="str">
        <x:v>https://drive.google.com/file/d/1n8F2kDfidB84QrJTtrHgbhUHL2G311qV/view</x:v>
      </x:c>
    </x:row>
    <x:row r="102" ht="22" customHeight="1">
      <x:c r="A102" t="n">
        <x:v>5</x:v>
      </x:c>
      <x:c r="B102" t="str">
        <x:v>LEITURA</x:v>
      </x:c>
      <x:c r="C102" t="str">
        <x:v>H 04</x:v>
      </x:c>
      <x:c r="D102" t="n">
        <x:v>49</x:v>
      </x:c>
      <x:c r="E102" t="n">
        <x:v>53</x:v>
      </x:c>
      <x:c r="F102" t="n">
        <x:v>92.45</x:v>
      </x:c>
      <x:c r="G102" t="n">
        <x:v>-12.45</x:v>
      </x:c>
      <x:c r="H102" t="str">
        <x:v>3EF15_P</x:v>
      </x:c>
      <x:c r="I102" t="str">
        <x:v>Reconhecer o tempo e o lugar de narrativas ficcionais, quando há pistas textuais que evidenciam esses elementos.</x:v>
      </x:c>
      <x:c r="J102" t="str">
        <x:v>EF01LP26</x:v>
      </x:c>
      <x:c r="K102" t="str">
        <x:v>Identificar elementos de uma narrativa lida ou escutada, incluindo personagens, enredo, tempo e espaço.</x:v>
      </x:c>
      <x:c r="L102" t="str">
        <x:v>Fonte anterior; integração a confirmar. A nota geral não confirma aplicabilidade individual ao ano avaliado.</x:v>
      </x:c>
      <x:c r="M102" t="str">
        <x:v>mapeamento rastreado</x:v>
      </x:c>
      <x:c r="N102" t="str">
        <x:v>https://drive.google.com/file/d/1n8F2kDfidB84QrJTtrHgbhUHL2G311qV/view</x:v>
      </x:c>
    </x:row>
    <x:row r="103" ht="22" customHeight="1">
      <x:c r="A103" t="n">
        <x:v>5</x:v>
      </x:c>
      <x:c r="B103" t="str">
        <x:v>LEITURA</x:v>
      </x:c>
      <x:c r="C103" t="str">
        <x:v>H 05</x:v>
      </x:c>
      <x:c r="D103" t="n">
        <x:v>49</x:v>
      </x:c>
      <x:c r="E103" t="n">
        <x:v>53</x:v>
      </x:c>
      <x:c r="F103" t="n">
        <x:v>92.45</x:v>
      </x:c>
      <x:c r="G103" t="n">
        <x:v>-12.45</x:v>
      </x:c>
      <x:c r="H103" t="str">
        <x:v>4EF10_P</x:v>
      </x:c>
      <x:c r="I103" t="str">
        <x:v>Inferir informação em texto exclusivamente verbal com base numa paráfrase, na dedução a partir de um enunciado ou na conexão entre enunciados.</x:v>
      </x:c>
      <x:c r="J103" t="str">
        <x:v>EF15LP03</x:v>
      </x:c>
      <x:c r="K103" t="str">
        <x:v>Localizar informações explícitas em textos.</x:v>
      </x:c>
      <x:c r="L103" t="str">
        <x:v>O descritor CAEd trata de inferência; o texto BNCC trata de localizar informações explícitas. Associação publicada preservada com ressalva semântica. Fonte anterior; integração a confirmar. A nota geral não confirma aplicabilidade individual ao ano avaliado.</x:v>
      </x:c>
      <x:c r="M103" t="str">
        <x:v>mapeamento rastreado</x:v>
      </x:c>
      <x:c r="N103" t="str">
        <x:v>https://drive.google.com/file/d/1n8F2kDfidB84QrJTtrHgbhUHL2G311qV/view</x:v>
      </x:c>
    </x:row>
    <x:row r="104" ht="22" customHeight="1">
      <x:c r="A104" t="n">
        <x:v>5</x:v>
      </x:c>
      <x:c r="B104" t="str">
        <x:v>LEITURA</x:v>
      </x:c>
      <x:c r="C104" t="str">
        <x:v>H 06</x:v>
      </x:c>
      <x:c r="D104" t="n">
        <x:v>43</x:v>
      </x:c>
      <x:c r="E104" t="n">
        <x:v>53</x:v>
      </x:c>
      <x:c r="F104" t="n">
        <x:v>81.13</x:v>
      </x:c>
      <x:c r="G104" t="n">
        <x:v>-1.13</x:v>
      </x:c>
      <x:c r="H104" t="str">
        <x:v>4EF13_P</x:v>
      </x:c>
      <x:c r="I104" t="str">
        <x:v>Inferir o sentido de metáforas poéticas em textos do campo artístico literário.</x:v>
      </x:c>
      <x:c r="J104" t="str">
        <x:v>EF35LP05</x:v>
      </x:c>
      <x:c r="K104" t="str">
        <x:v>Inferir o sentido de palavras ou expressões desconhecidas em textos, com base no contexto da frase ou do texto.</x:v>
      </x:c>
      <x:c r="L104" t="str">
        <x:v>Associação curricular documentada não demonstra equivalência integral, pré-requisito causal ou domínio individual da BNCC.</x:v>
      </x:c>
      <x:c r="M104" t="str">
        <x:v>mapeamento rastreado</x:v>
      </x:c>
      <x:c r="N104" t="str">
        <x:v>https://drive.google.com/file/d/1n8F2kDfidB84QrJTtrHgbhUHL2G311qV/view</x:v>
      </x:c>
    </x:row>
    <x:row r="105" ht="22" customHeight="1">
      <x:c r="A105" t="n">
        <x:v>5</x:v>
      </x:c>
      <x:c r="B105" t="str">
        <x:v>LEITURA</x:v>
      </x:c>
      <x:c r="C105" t="str">
        <x:v>H 07</x:v>
      </x:c>
      <x:c r="D105" t="n">
        <x:v>47</x:v>
      </x:c>
      <x:c r="E105" t="n">
        <x:v>53</x:v>
      </x:c>
      <x:c r="F105" t="n">
        <x:v>88.68</x:v>
      </x:c>
      <x:c r="G105" t="n">
        <x:v>-8.68</x:v>
      </x:c>
      <x:c r="H105" t="str">
        <x:v>4EF14_P</x:v>
      </x:c>
      <x:c r="I105" t="str">
        <x:v>Inferir efeitos de humor em textos que conjugam linguagem verbal e não verbal.</x:v>
      </x:c>
      <x:c r="J105" t="str">
        <x:v>EF15LP18</x:v>
      </x:c>
      <x:c r="K105" t="str">
        <x:v>Relacionar texto com ilustrações e outros recursos gráficos.</x:v>
      </x:c>
      <x:c r="L105" t="str">
        <x:v>Associação curricular documentada não demonstra equivalência integral, pré-requisito causal ou domínio individual da BNCC.</x:v>
      </x:c>
      <x:c r="M105" t="str">
        <x:v>mapeamento rastreado</x:v>
      </x:c>
      <x:c r="N105" t="str">
        <x:v>https://drive.google.com/file/d/1n8F2kDfidB84QrJTtrHgbhUHL2G311qV/view</x:v>
      </x:c>
    </x:row>
    <x:row r="106" ht="22" customHeight="1">
      <x:c r="A106" t="n">
        <x:v>5</x:v>
      </x:c>
      <x:c r="B106" t="str">
        <x:v>LEITURA</x:v>
      </x:c>
      <x:c r="C106" t="str">
        <x:v>H 08</x:v>
      </x:c>
      <x:c r="D106" t="n">
        <x:v>80</x:v>
      </x:c>
      <x:c r="E106" t="n">
        <x:v>106</x:v>
      </x:c>
      <x:c r="F106" t="n">
        <x:v>75.47</x:v>
      </x:c>
      <x:c r="G106" t="n">
        <x:v>4.53</x:v>
      </x:c>
      <x:c r="H106" t="str">
        <x:v>4EF16_P</x:v>
      </x:c>
      <x:c r="I106" t="str">
        <x:v>Reconhecer o narrador em narrativas ficcionais, quando se trata do narrador em primeira pessoa.</x:v>
      </x:c>
      <x:c r="J106" t="str">
        <x:v>EF35LP29</x:v>
      </x:c>
      <x:c r="K106" t="str">
        <x:v>Identificar, em narrativas, cenário, personagem central, conflito gerador, resolução e o ponto de vista com base no qual histórias são narradas, diferenciando narrativas em primeira e terceira pessoas.</x:v>
      </x:c>
      <x:c r="L106" t="str">
        <x:v>Associação curricular documentada não demonstra equivalência integral, pré-requisito causal ou domínio individual da BNCC.</x:v>
      </x:c>
      <x:c r="M106" t="str">
        <x:v>mapeamento rastreado</x:v>
      </x:c>
      <x:c r="N106" t="str">
        <x:v>https://drive.google.com/file/d/1n8F2kDfidB84QrJTtrHgbhUHL2G311qV/view</x:v>
      </x:c>
    </x:row>
    <x:row r="107" ht="22" customHeight="1">
      <x:c r="A107" t="n">
        <x:v>5</x:v>
      </x:c>
      <x:c r="B107" t="str">
        <x:v>LEITURA</x:v>
      </x:c>
      <x:c r="C107" t="str">
        <x:v>H 09</x:v>
      </x:c>
      <x:c r="D107" t="n">
        <x:v>44</x:v>
      </x:c>
      <x:c r="E107" t="n">
        <x:v>53</x:v>
      </x:c>
      <x:c r="F107" t="n">
        <x:v>83.02</x:v>
      </x:c>
      <x:c r="G107" t="n">
        <x:v>-3.02</x:v>
      </x:c>
      <x:c r="H107" t="str">
        <x:v>4EF17_P</x:v>
      </x:c>
      <x:c r="I107" t="str">
        <x:v>Identificar a opinião de um personagem em uma narrativa ficcional, estando a opinião marcada por um verbo opinativo.</x:v>
      </x:c>
      <x:c r="J107" t="str">
        <x:v>EF04LP15</x:v>
      </x:c>
      <x:c r="K107" t="str">
        <x:v>Distinguir fatos de opiniões/sugestões em textos (informativos, jornalísticos, publicitários etc.).</x:v>
      </x:c>
      <x:c r="L107" t="str">
        <x:v>O descritor CAEd trata de opinião de personagem em narrativa; o texto BNCC trata de fatos/opiniões em textos informativos e outros gêneros. Associação publicada preservada com ressalva semântica.</x:v>
      </x:c>
      <x:c r="M107" t="str">
        <x:v>mapeamento rastreado</x:v>
      </x:c>
      <x:c r="N107" t="str">
        <x:v>https://drive.google.com/file/d/1n8F2kDfidB84QrJTtrHgbhUHL2G311qV/view</x:v>
      </x:c>
    </x:row>
    <x:row r="108" ht="22" customHeight="1">
      <x:c r="A108" t="n">
        <x:v>5</x:v>
      </x:c>
      <x:c r="B108" t="str">
        <x:v>LEITURA</x:v>
      </x:c>
      <x:c r="C108" t="str">
        <x:v>H 10</x:v>
      </x:c>
      <x:c r="D108" t="n">
        <x:v>36</x:v>
      </x:c>
      <x:c r="E108" t="n">
        <x:v>53</x:v>
      </x:c>
      <x:c r="F108" t="n">
        <x:v>67.92</x:v>
      </x:c>
      <x:c r="G108" t="n">
        <x:v>12.08</x:v>
      </x:c>
      <x:c r="H108" t="str">
        <x:v>4EF23_P</x:v>
      </x:c>
      <x:c r="I108" t="str">
        <x:v>Reconhecer relações lógico-discursivas marcadas por advérbios e expressões adverbiais de tempo em textos de diferentes gêneros.</x:v>
      </x:c>
      <x:c r="J108" t="str">
        <x:v>EF05LP07</x:v>
      </x:c>
      <x:c r="K108" t="str">
        <x:v>Identificar, em textos, o uso de conjunções e a relação que estabelecem entre partes do texto: adição, oposição, tempo, causa, condição, finalidade.</x:v>
      </x:c>
      <x:c r="L108" t="str">
        <x:v>O descritor CAEd trata de advérbios/expressões adverbiais; o texto BNCC trata de conjunções. Associação publicada preservada com ressalva semântica.</x:v>
      </x:c>
      <x:c r="M108" t="str">
        <x:v>mapeamento rastreado</x:v>
      </x:c>
      <x:c r="N108" t="str">
        <x:v>https://drive.google.com/file/d/1n8F2kDfidB84QrJTtrHgbhUHL2G311qV/view</x:v>
      </x:c>
    </x:row>
    <x:row r="109" ht="22" customHeight="1">
      <x:c r="A109" t="n">
        <x:v>5</x:v>
      </x:c>
      <x:c r="B109" t="str">
        <x:v>LEITURA</x:v>
      </x:c>
      <x:c r="C109" t="str">
        <x:v>H 11</x:v>
      </x:c>
      <x:c r="D109" t="n">
        <x:v>92</x:v>
      </x:c>
      <x:c r="E109" t="n">
        <x:v>106</x:v>
      </x:c>
      <x:c r="F109" t="n">
        <x:v>86.79</x:v>
      </x:c>
      <x:c r="G109" t="n">
        <x:v>-6.79</x:v>
      </x:c>
      <x:c r="H109" t="str">
        <x:v>5EF04_P</x:v>
      </x:c>
      <x:c r="I109" t="str">
        <x:v>Reconhecer o assunto de textos de qualquer campo de atuação quando o assunto é indicado indiretamente pelo título e/ou é tópico do primeiro parágrafo do texto.</x:v>
      </x:c>
      <x:c r="J109" t="str">
        <x:v>EF35LP03</x:v>
      </x:c>
      <x:c r="K109" t="str">
        <x:v>Identificar a ideia central do texto, demonstrando compreensão global.</x:v>
      </x:c>
      <x:c r="L109" t="str">
        <x:v>Associação curricular documentada não demonstra equivalência integral, pré-requisito causal ou domínio individual da BNCC.</x:v>
      </x:c>
      <x:c r="M109" t="str">
        <x:v>mapeamento rastreado</x:v>
      </x:c>
      <x:c r="N109" t="str">
        <x:v>https://drive.google.com/file/d/1n8F2kDfidB84QrJTtrHgbhUHL2G311qV/view</x:v>
      </x:c>
    </x:row>
    <x:row r="110" ht="22" customHeight="1">
      <x:c r="A110" t="n">
        <x:v>5</x:v>
      </x:c>
      <x:c r="B110" t="str">
        <x:v>LEITURA</x:v>
      </x:c>
      <x:c r="C110" t="str">
        <x:v>H 12</x:v>
      </x:c>
      <x:c r="D110" t="n">
        <x:v>27</x:v>
      </x:c>
      <x:c r="E110" t="n">
        <x:v>106</x:v>
      </x:c>
      <x:c r="F110" t="n">
        <x:v>25.47</x:v>
      </x:c>
      <x:c r="G110" t="n">
        <x:v>54.53</x:v>
      </x:c>
      <x:c r="H110" t="str">
        <x:v>5EF06_P</x:v>
      </x:c>
      <x:c r="I110" t="str">
        <x:v>Inferir, em textos de nível 2, o sentido de palavras ou expressões não coloquiais, com apoio de pistas co-textuais (sinonímia, antonímia, palavras do mesmo campo semêntico e outras sinalizações).</x:v>
      </x:c>
      <x:c r="J110" t="str">
        <x:v>EF35LP05</x:v>
      </x:c>
      <x:c r="K110" t="str">
        <x:v>Inferir o sentido de palavras ou expressões desconhecidas em textos, com base no contexto da frase ou do texto.</x:v>
      </x:c>
      <x:c r="L110" t="str">
        <x:v>Associação curricular documentada não demonstra equivalência integral, pré-requisito causal ou domínio individual da BNCC.</x:v>
      </x:c>
      <x:c r="M110" t="str">
        <x:v>mapeamento rastreado</x:v>
      </x:c>
      <x:c r="N110" t="str">
        <x:v>https://drive.google.com/file/d/1n8F2kDfidB84QrJTtrHgbhUHL2G311qV/view</x:v>
      </x:c>
    </x:row>
    <x:row r="111" ht="22" customHeight="1">
      <x:c r="A111" t="n">
        <x:v>5</x:v>
      </x:c>
      <x:c r="B111" t="str">
        <x:v>LEITURA</x:v>
      </x:c>
      <x:c r="C111" t="str">
        <x:v>H 13</x:v>
      </x:c>
      <x:c r="D111" t="n">
        <x:v>92</x:v>
      </x:c>
      <x:c r="E111" t="n">
        <x:v>106</x:v>
      </x:c>
      <x:c r="F111" t="n">
        <x:v>86.79</x:v>
      </x:c>
      <x:c r="G111" t="n">
        <x:v>-6.79</x:v>
      </x:c>
      <x:c r="H111" t="str">
        <x:v>5EF15_P</x:v>
      </x:c>
      <x:c r="I111" t="str">
        <x:v>Reconhecer o gênero de textos que circulam nos diferentes campos de atuação.</x:v>
      </x:c>
      <x:c r="J111" t="str">
        <x:v>EF15LP02</x:v>
      </x:c>
      <x:c r="K111" t="str">
        <x:v>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x:v>
      </x:c>
      <x:c r="L111" t="str">
        <x:v>Associação curricular documentada não demonstra equivalência integral, pré-requisito causal ou domínio individual da BNCC.</x:v>
      </x:c>
      <x:c r="M111" t="str">
        <x:v>mapeamento rastreado</x:v>
      </x:c>
      <x:c r="N111" t="str">
        <x:v>https://drive.google.com/file/d/1n8F2kDfidB84QrJTtrHgbhUHL2G311qV/view</x:v>
      </x:c>
    </x:row>
    <x:row r="112" ht="22" customHeight="1">
      <x:c r="A112" t="n">
        <x:v>5</x:v>
      </x:c>
      <x:c r="B112" t="str">
        <x:v>LEITURA</x:v>
      </x:c>
      <x:c r="C112" t="str">
        <x:v>H 14</x:v>
      </x:c>
      <x:c r="D112" t="n">
        <x:v>71</x:v>
      </x:c>
      <x:c r="E112" t="n">
        <x:v>106</x:v>
      </x:c>
      <x:c r="F112" t="n">
        <x:v>66.98</x:v>
      </x:c>
      <x:c r="G112" t="n">
        <x:v>13.02</x:v>
      </x:c>
      <x:c r="H112" t="str">
        <x:v>5EF16_P</x:v>
      </x:c>
      <x:c r="I112" t="str">
        <x:v>Identificar a finalidade de textos dos campos de atuação da vida cotidiana, jornalístico midiático ou de estudos e pesquisas pela compreensão global.</x:v>
      </x:c>
      <x:c r="J112" t="str">
        <x:v>EF15LP01</x:v>
      </x:c>
      <x:c r="K112" t="str">
        <x:v>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x:v>
      </x:c>
      <x:c r="L112" t="str">
        <x:v>Associação curricular documentada não demonstra equivalência integral, pré-requisito causal ou domínio individual da BNCC.</x:v>
      </x:c>
      <x:c r="M112" t="str">
        <x:v>mapeamento rastreado</x:v>
      </x:c>
      <x:c r="N112" t="str">
        <x:v>https://drive.google.com/file/d/1n8F2kDfidB84QrJTtrHgbhUHL2G311qV/view</x:v>
      </x:c>
    </x:row>
    <x:row r="113" ht="22" customHeight="1">
      <x:c r="A113" t="n">
        <x:v>5</x:v>
      </x:c>
      <x:c r="B113" t="str">
        <x:v>LEITURA</x:v>
      </x:c>
      <x:c r="C113" t="str">
        <x:v>H 15</x:v>
      </x:c>
      <x:c r="D113" t="n">
        <x:v>42</x:v>
      </x:c>
      <x:c r="E113" t="n">
        <x:v>53</x:v>
      </x:c>
      <x:c r="F113" t="n">
        <x:v>79.25</x:v>
      </x:c>
      <x:c r="G113" t="n">
        <x:v>0.75</x:v>
      </x:c>
      <x:c r="H113" t="str">
        <x:v>5EF19_P</x:v>
      </x:c>
      <x:c r="I113" t="str">
        <x:v>Reconhecer o efeito de sentido do uso de aspas, reticências e parênteses em textos de diferentes gêneros.</x:v>
      </x:c>
      <x:c r="J113" t="str">
        <x:v>EF05LP04</x:v>
      </x:c>
      <x:c r="K113" t="str">
        <x:v>Diferenciar, na leitura de textos, vírgula, ponto e vírgula, dois-pontos e reconhecer, na leitura de textos, o efeito de sentido que decorre do uso de reticências, aspas, parênteses.</x:v>
      </x:c>
      <x:c r="L113" t="str">
        <x:v>Associação curricular documentada não demonstra equivalência integral, pré-requisito causal ou domínio individual da BNCC.</x:v>
      </x:c>
      <x:c r="M113" t="str">
        <x:v>mapeamento rastreado</x:v>
      </x:c>
      <x:c r="N113" t="str">
        <x:v>https://drive.google.com/file/d/1n8F2kDfidB84QrJTtrHgbhUHL2G311qV/view</x:v>
      </x:c>
    </x:row>
    <x:row r="114" ht="22" customHeight="1">
      <x:c r="A114" t="n">
        <x:v>5</x:v>
      </x:c>
      <x:c r="B114" t="str">
        <x:v>LEITURA</x:v>
      </x:c>
      <x:c r="C114" t="str">
        <x:v>H 16</x:v>
      </x:c>
      <x:c r="D114" t="n">
        <x:v>44</x:v>
      </x:c>
      <x:c r="E114" t="n">
        <x:v>53</x:v>
      </x:c>
      <x:c r="F114" t="n">
        <x:v>83.02</x:v>
      </x:c>
      <x:c r="G114" t="n">
        <x:v>-3.02</x:v>
      </x:c>
      <x:c r="H114" t="str">
        <x:v>5EF22_P</x:v>
      </x:c>
      <x:c r="I114" t="str">
        <x:v>Identificar o referente de pronomes pessoais do caso reto (anafórico) com referente próximo ou saliente (tópico do texto) ou de substituições lexicais (substantivos por sinônimos) em textos de diferentes gêneros.</x:v>
      </x:c>
      <x:c r="J114" t="str">
        <x:v>EF35LP14</x:v>
      </x:c>
      <x:c r="K114" t="str">
        <x:v>Identificar em textos e usar na produção textual pronomes pessoais, possessivos e demonstrativos, como recurso coesivo anafórico.</x:v>
      </x:c>
      <x:c r="L114" t="str">
        <x:v>Associação curricular documentada não demonstra equivalência integral, pré-requisito causal ou domínio individual da BNCC.</x:v>
      </x:c>
      <x:c r="M114" t="str">
        <x:v>mapeamento rastreado</x:v>
      </x:c>
      <x:c r="N114" t="str">
        <x:v>https://drive.google.com/file/d/1n8F2kDfidB84QrJTtrHgbhUHL2G311qV/view</x:v>
      </x:c>
    </x:row>
    <x:row r="115" ht="22" customHeight="1">
      <x:c r="A115" t="n">
        <x:v>5</x:v>
      </x:c>
      <x:c r="B115" t="str">
        <x:v>LEITURA</x:v>
      </x:c>
      <x:c r="C115"/>
      <x:c r="D115" t="n">
        <x:v>891</x:v>
      </x:c>
      <x:c r="E115" t="n">
        <x:v>1166</x:v>
      </x:c>
      <x:c r="F115" t="n">
        <x:v>76.42</x:v>
      </x:c>
      <x:c r="G115" t="n">
        <x:v>3.58</x:v>
      </x:c>
      <x:c r="H115" t="str"/>
      <x:c r="I115" t="str"/>
      <x:c r="J115" t="str"/>
      <x:c r="K115" t="str"/>
      <x:c r="L115" t="str"/>
      <x:c r="M115" t="str">
        <x:v>sem vínculo validado</x:v>
      </x:c>
      <x:c r="N115" t="str">
        <x:v>https://drive.google.com/file/d/1n8F2kDfidB84QrJTtrHgbhUHL2G311qV/view</x:v>
      </x:c>
    </x:row>
    <x:row r="116" ht="22" customHeight="1">
      <x:c r="A116" t="n">
        <x:v>5</x:v>
      </x:c>
      <x:c r="B116" t="str">
        <x:v>MATEMATICA</x:v>
      </x:c>
      <x:c r="C116" t="str">
        <x:v>H 01</x:v>
      </x:c>
      <x:c r="D116" t="n">
        <x:v>94</x:v>
      </x:c>
      <x:c r="E116" t="n">
        <x:v>108</x:v>
      </x:c>
      <x:c r="F116" t="n">
        <x:v>87.04</x:v>
      </x:c>
      <x:c r="G116" t="n">
        <x:v>-7.04</x:v>
      </x:c>
      <x:c r="H116" t="str">
        <x:v>3EF07_M</x:v>
      </x:c>
      <x:c r="I116" t="str">
        <x:v>Utilizar a operação de adição entre números naturais, formados por até quatro algarismos, envolvendo o significado de juntar ou de acrescentar, na resolução de problema.</x:v>
      </x:c>
      <x:c r="J116" t="str">
        <x:v>EF03MA06</x:v>
      </x:c>
      <x:c r="K116" t="str">
        <x:v>Resolver e elaborar problemas de adição e subtração com os significados de juntar, acrescentar, separar, retirar, comparar e completar quantidades, utilizando diferentes estratégias de cálculo exato ou aproximado, incluindo cálculo mental.</x:v>
      </x:c>
      <x:c r="L116" t="str">
        <x:v>Associação curricular documentada não demonstra equivalência integral, pré-requisito causal ou domínio individual da BNCC.</x:v>
      </x:c>
      <x:c r="M116" t="str">
        <x:v>mapeamento rastreado</x:v>
      </x:c>
      <x:c r="N116" t="str">
        <x:v>https://drive.google.com/file/d/1n8F2kDfidB84QrJTtrHgbhUHL2G311qV/view</x:v>
      </x:c>
    </x:row>
    <x:row r="117" ht="22" customHeight="1">
      <x:c r="A117" t="n">
        <x:v>5</x:v>
      </x:c>
      <x:c r="B117" t="str">
        <x:v>MATEMATICA</x:v>
      </x:c>
      <x:c r="C117" t="str">
        <x:v>H 02</x:v>
      </x:c>
      <x:c r="D117" t="n">
        <x:v>36</x:v>
      </x:c>
      <x:c r="E117" t="n">
        <x:v>54</x:v>
      </x:c>
      <x:c r="F117" t="n">
        <x:v>66.67</x:v>
      </x:c>
      <x:c r="G117" t="n">
        <x:v>13.33</x:v>
      </x:c>
      <x:c r="H117" t="str">
        <x:v>3EF09_M</x:v>
      </x:c>
      <x:c r="I117" t="str">
        <x:v>Utilizar a operação de subtração entre números naturais, formados por até quatro algarismos, envolvendo o significado de separar, de retirar, de comparar ou de completar, na resolução de problema.</x:v>
      </x:c>
      <x:c r="J117" t="str">
        <x:v>EF03MA06</x:v>
      </x:c>
      <x:c r="K117" t="str">
        <x:v>Resolver e elaborar problemas de adição e subtração com os significados de juntar, acrescentar, separar, retirar, comparar e completar quantidades, utilizando diferentes estratégias de cálculo exato ou aproximado, incluindo cálculo mental.</x:v>
      </x:c>
      <x:c r="L117" t="str">
        <x:v>Associação curricular documentada não demonstra equivalência integral, pré-requisito causal ou domínio individual da BNCC.</x:v>
      </x:c>
      <x:c r="M117" t="str">
        <x:v>mapeamento rastreado</x:v>
      </x:c>
      <x:c r="N117" t="str">
        <x:v>https://drive.google.com/file/d/1n8F2kDfidB84QrJTtrHgbhUHL2G311qV/view</x:v>
      </x:c>
    </x:row>
    <x:row r="118" ht="22" customHeight="1">
      <x:c r="A118" t="n">
        <x:v>5</x:v>
      </x:c>
      <x:c r="B118" t="str">
        <x:v>MATEMATICA</x:v>
      </x:c>
      <x:c r="C118" t="str">
        <x:v>H 03</x:v>
      </x:c>
      <x:c r="D118" t="n">
        <x:v>24</x:v>
      </x:c>
      <x:c r="E118" t="n">
        <x:v>54</x:v>
      </x:c>
      <x:c r="F118" t="n">
        <x:v>44.44</x:v>
      </x:c>
      <x:c r="G118" t="n">
        <x:v>35.56</x:v>
      </x:c>
      <x:c r="H118" t="str">
        <x:v>3EF11_M</x:v>
      </x:c>
      <x:c r="I118" t="str">
        <x:v>Determinar termos ausentes em sequências de números naturais, formados por até quatro algarismos, resultantes de adições ou de subtrações sucessivas por um mesmo número.</x:v>
      </x:c>
      <x:c r="J118" t="str">
        <x:v>EF03MA10</x:v>
      </x:c>
      <x:c r="K118" t="str">
        <x:v>Identificar regularidades em sequências ordenadas de números naturais, resultantes da realização de adições ou subtrações sucessivas, por um mesmo número, descrever uma regra de formação da sequência e determinar elementos faltantes ou seguintes.</x:v>
      </x:c>
      <x:c r="L118" t="str">
        <x:v>Fonte anterior; integração a confirmar. A nota geral não confirma aplicabilidade individual ao ano avaliado.</x:v>
      </x:c>
      <x:c r="M118" t="str">
        <x:v>mapeamento rastreado</x:v>
      </x:c>
      <x:c r="N118" t="str">
        <x:v>https://drive.google.com/file/d/1n8F2kDfidB84QrJTtrHgbhUHL2G311qV/view</x:v>
      </x:c>
    </x:row>
    <x:row r="119" ht="22" customHeight="1">
      <x:c r="A119" t="n">
        <x:v>5</x:v>
      </x:c>
      <x:c r="B119" t="str">
        <x:v>MATEMATICA</x:v>
      </x:c>
      <x:c r="C119" t="str">
        <x:v>H 04</x:v>
      </x:c>
      <x:c r="D119" t="n">
        <x:v>30</x:v>
      </x:c>
      <x:c r="E119" t="n">
        <x:v>54</x:v>
      </x:c>
      <x:c r="F119" t="n">
        <x:v>55.56</x:v>
      </x:c>
      <x:c r="G119" t="n">
        <x:v>24.44</x:v>
      </x:c>
      <x:c r="H119" t="str">
        <x:v>3EF12_M</x:v>
      </x:c>
      <x:c r="I119" t="str">
        <x:v>Interpretar movimentação de pessoas, animais ou objetos no espaço, considerando mais de um ponto de referência e noções de orientação, indicando sua posição após finalizada a movimentação.</x:v>
      </x:c>
      <x:c r="J119" t="str">
        <x:v>EF02MA12</x:v>
      </x:c>
      <x:c r="K119" t="str">
        <x:v>Identificar e registrar, em linguagem verbal ou não verbal, a localização e os deslocamentos de pessoas e de objetos no espaço, considerando mais de um ponto de referência, e indicar as mudanças de direção e de sentido.</x:v>
      </x:c>
      <x:c r="L119" t="str">
        <x:v>Fonte anterior; integração a confirmar. A nota geral não confirma aplicabilidade individual ao ano avaliado.</x:v>
      </x:c>
      <x:c r="M119" t="str">
        <x:v>mapeamento rastreado</x:v>
      </x:c>
      <x:c r="N119" t="str">
        <x:v>https://drive.google.com/file/d/1n8F2kDfidB84QrJTtrHgbhUHL2G311qV/view</x:v>
      </x:c>
    </x:row>
    <x:row r="120" ht="22" customHeight="1">
      <x:c r="A120" t="n">
        <x:v>5</x:v>
      </x:c>
      <x:c r="B120" t="str">
        <x:v>MATEMATICA</x:v>
      </x:c>
      <x:c r="C120" t="str">
        <x:v>H 05</x:v>
      </x:c>
      <x:c r="D120" t="n">
        <x:v>18</x:v>
      </x:c>
      <x:c r="E120" t="n">
        <x:v>54</x:v>
      </x:c>
      <x:c r="F120" t="n">
        <x:v>33.33</x:v>
      </x:c>
      <x:c r="G120" t="n">
        <x:v>46.67</x:v>
      </x:c>
      <x:c r="H120" t="str">
        <x:v>3EF17_M</x:v>
      </x:c>
      <x:c r="I120" t="str">
        <x:v>Interpretar dados estatísticos dispostos em tabelas de dupla entrada.</x:v>
      </x:c>
      <x:c r="J120" t="str">
        <x:v>EF03MA27</x:v>
      </x:c>
      <x:c r="K120" t="str">
        <x:v>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x:v>
      </x:c>
      <x:c r="L120" t="str">
        <x:v>Fonte anterior; integração a confirmar. A nota geral não confirma aplicabilidade individual ao ano avaliado.</x:v>
      </x:c>
      <x:c r="M120" t="str">
        <x:v>mapeamento rastreado</x:v>
      </x:c>
      <x:c r="N120" t="str">
        <x:v>https://drive.google.com/file/d/1n8F2kDfidB84QrJTtrHgbhUHL2G311qV/view</x:v>
      </x:c>
    </x:row>
    <x:row r="121" ht="22" customHeight="1">
      <x:c r="A121" t="n">
        <x:v>5</x:v>
      </x:c>
      <x:c r="B121" t="str">
        <x:v>MATEMATICA</x:v>
      </x:c>
      <x:c r="C121" t="str">
        <x:v>H 06</x:v>
      </x:c>
      <x:c r="D121" t="n">
        <x:v>26</x:v>
      </x:c>
      <x:c r="E121" t="n">
        <x:v>54</x:v>
      </x:c>
      <x:c r="F121" t="n">
        <x:v>48.15</x:v>
      </x:c>
      <x:c r="G121" t="n">
        <x:v>31.85</x:v>
      </x:c>
      <x:c r="H121" t="str">
        <x:v>4EF01_M</x:v>
      </x:c>
      <x:c r="I121" t="str">
        <x:v>Comparar números naturais formados por até cinco algarismos, indicando o menor, o maior, a ordenação crescente ou a decrescente deles.</x:v>
      </x:c>
      <x:c r="J121" t="str">
        <x:v>EF04MA01</x:v>
      </x:c>
      <x:c r="K121" t="str">
        <x:v>Ler, escrever e ordenar números naturais até a ordem de dezenas de milhar.</x:v>
      </x:c>
      <x:c r="L121" t="str">
        <x:v>Associação curricular documentada não demonstra equivalência integral, pré-requisito causal ou domínio individual da BNCC.</x:v>
      </x:c>
      <x:c r="M121" t="str">
        <x:v>mapeamento rastreado</x:v>
      </x:c>
      <x:c r="N121" t="str">
        <x:v>https://drive.google.com/file/d/1n8F2kDfidB84QrJTtrHgbhUHL2G311qV/view</x:v>
      </x:c>
    </x:row>
    <x:row r="122" ht="22" customHeight="1">
      <x:c r="A122" t="n">
        <x:v>5</x:v>
      </x:c>
      <x:c r="B122" t="str">
        <x:v>MATEMATICA</x:v>
      </x:c>
      <x:c r="C122" t="str">
        <x:v>H 07</x:v>
      </x:c>
      <x:c r="D122" t="n">
        <x:v>34</x:v>
      </x:c>
      <x:c r="E122" t="n">
        <x:v>54</x:v>
      </x:c>
      <x:c r="F122" t="n">
        <x:v>62.96</x:v>
      </x:c>
      <x:c r="G122" t="n">
        <x:v>17.04</x:v>
      </x:c>
      <x:c r="H122" t="str">
        <x:v>4EF02_M</x:v>
      </x:c>
      <x:c r="I122" t="str">
        <x:v>Corresponder composições a decomposições de números naturais formados por até cinco algarismos.</x:v>
      </x:c>
      <x:c r="J122" t="str">
        <x:v>EF03MA02, EF04MA02</x:v>
      </x:c>
      <x:c r="K122" t="str">
        <x:v>Identificar características do sistema de numeração decimal, utilizando a composição e a decomposição de número natural de até quatro ordens. | Mostrar, por decomposição e composição, que todo número natural pode ser escrito por meio de adições e multiplicações por potências de dez, para compreender o sistema de numeração decimal e desenvolver estratégias de cálculo.</x:v>
      </x:c>
      <x:c r="L122" t="str">
        <x:v>Associação curricular documentada não demonstra equivalência integral, pré-requisito causal ou domínio individual da BNCC.</x:v>
      </x:c>
      <x:c r="M122" t="str">
        <x:v>mapeamento rastreado</x:v>
      </x:c>
      <x:c r="N122" t="str">
        <x:v>https://drive.google.com/file/d/1n8F2kDfidB84QrJTtrHgbhUHL2G311qV/view</x:v>
      </x:c>
    </x:row>
    <x:row r="123" ht="22" customHeight="1">
      <x:c r="A123" t="n">
        <x:v>5</x:v>
      </x:c>
      <x:c r="B123" t="str">
        <x:v>MATEMATICA</x:v>
      </x:c>
      <x:c r="C123" t="str">
        <x:v>H 08</x:v>
      </x:c>
      <x:c r="D123" t="n">
        <x:v>39</x:v>
      </x:c>
      <x:c r="E123" t="n">
        <x:v>54</x:v>
      </x:c>
      <x:c r="F123" t="n">
        <x:v>72.22</x:v>
      </x:c>
      <x:c r="G123" t="n">
        <x:v>7.78</x:v>
      </x:c>
      <x:c r="H123" t="str">
        <x:v>4EF03_M</x:v>
      </x:c>
      <x:c r="I123" t="str">
        <x:v>Identificar a ordem ocupada por um algarismo ou o algarismo que ocupa uma determinada ordem, em um número natural formado por até cinco algarismos.</x:v>
      </x:c>
      <x:c r="J123" t="str">
        <x:v>EF03MA02, EF04MA02</x:v>
      </x:c>
      <x:c r="K123" t="str">
        <x:v>Identificar características do sistema de numeração decimal, utilizando a composição e a decomposição de número natural de até quatro ordens. | Mostrar, por decomposição e composição, que todo número natural pode ser escrito por meio de adições e multiplicações por potências de dez, para compreender o sistema de numeração decimal e desenvolver estratégias de cálculo.</x:v>
      </x:c>
      <x:c r="L123" t="str">
        <x:v>Associação curricular documentada não demonstra equivalência integral, pré-requisito causal ou domínio individual da BNCC.</x:v>
      </x:c>
      <x:c r="M123" t="str">
        <x:v>mapeamento rastreado</x:v>
      </x:c>
      <x:c r="N123" t="str">
        <x:v>https://drive.google.com/file/d/1n8F2kDfidB84QrJTtrHgbhUHL2G311qV/view</x:v>
      </x:c>
    </x:row>
    <x:row r="124" ht="22" customHeight="1">
      <x:c r="A124" t="n">
        <x:v>5</x:v>
      </x:c>
      <x:c r="B124" t="str">
        <x:v>MATEMATICA</x:v>
      </x:c>
      <x:c r="C124" t="str">
        <x:v>H 09</x:v>
      </x:c>
      <x:c r="D124" t="n">
        <x:v>43</x:v>
      </x:c>
      <x:c r="E124" t="n">
        <x:v>54</x:v>
      </x:c>
      <x:c r="F124" t="n">
        <x:v>79.63</x:v>
      </x:c>
      <x:c r="G124" t="n">
        <x:v>0.37</x:v>
      </x:c>
      <x:c r="H124" t="str">
        <x:v>4EF04_M</x:v>
      </x:c>
      <x:c r="I124" t="str">
        <x:v>Identificar o valor posicional de um algarismo em um número natural formado por até cinco algarismos.</x:v>
      </x:c>
      <x:c r="J124" t="str">
        <x:v>EF03MA02, EF04MA02</x:v>
      </x:c>
      <x:c r="K124" t="str">
        <x:v>Identificar características do sistema de numeração decimal, utilizando a composição e a decomposição de número natural de até quatro ordens. | Mostrar, por decomposição e composição, que todo número natural pode ser escrito por meio de adições e multiplicações por potências de dez, para compreender o sistema de numeração decimal e desenvolver estratégias de cálculo.</x:v>
      </x:c>
      <x:c r="L124" t="str">
        <x:v>Associação curricular documentada não demonstra equivalência integral, pré-requisito causal ou domínio individual da BNCC.</x:v>
      </x:c>
      <x:c r="M124" t="str">
        <x:v>mapeamento rastreado</x:v>
      </x:c>
      <x:c r="N124" t="str">
        <x:v>https://drive.google.com/file/d/1n8F2kDfidB84QrJTtrHgbhUHL2G311qV/view</x:v>
      </x:c>
    </x:row>
    <x:row r="125" ht="22" customHeight="1">
      <x:c r="A125" t="n">
        <x:v>5</x:v>
      </x:c>
      <x:c r="B125" t="str">
        <x:v>MATEMATICA</x:v>
      </x:c>
      <x:c r="C125" t="str">
        <x:v>H 10</x:v>
      </x:c>
      <x:c r="D125" t="n">
        <x:v>38</x:v>
      </x:c>
      <x:c r="E125" t="n">
        <x:v>54</x:v>
      </x:c>
      <x:c r="F125" t="n">
        <x:v>70.37</x:v>
      </x:c>
      <x:c r="G125" t="n">
        <x:v>9.63</x:v>
      </x:c>
      <x:c r="H125" t="str">
        <x:v>4EF06_M</x:v>
      </x:c>
      <x:c r="I125" t="str">
        <x:v>Efetuar a operação de multiplicação entre números naturais formados por até quatro algarismos.</x:v>
      </x:c>
      <x:c r="J125" t="str">
        <x:v>EF04MA06</x:v>
      </x:c>
      <x:c r="K125" t="str">
        <x:v>Resolver e elaborar problemas envolvendo diferentes significados da multiplicação (adição de parcelas iguais, organização retangular e proporcionalidade), utilizando estratégias diversas, como cálculo por estimativa, cálculo mental e algoritmos.</x:v>
      </x:c>
      <x:c r="L125" t="str">
        <x:v>Associação curricular documentada não demonstra equivalência integral, pré-requisito causal ou domínio individual da BNCC.</x:v>
      </x:c>
      <x:c r="M125" t="str">
        <x:v>mapeamento rastreado</x:v>
      </x:c>
      <x:c r="N125" t="str">
        <x:v>https://drive.google.com/file/d/1n8F2kDfidB84QrJTtrHgbhUHL2G311qV/view</x:v>
      </x:c>
    </x:row>
    <x:row r="126" ht="22" customHeight="1">
      <x:c r="A126" t="n">
        <x:v>5</x:v>
      </x:c>
      <x:c r="B126" t="str">
        <x:v>MATEMATICA</x:v>
      </x:c>
      <x:c r="C126" t="str">
        <x:v>H 11</x:v>
      </x:c>
      <x:c r="D126" t="n">
        <x:v>37</x:v>
      </x:c>
      <x:c r="E126" t="n">
        <x:v>54</x:v>
      </x:c>
      <x:c r="F126" t="n">
        <x:v>68.52</x:v>
      </x:c>
      <x:c r="G126" t="n">
        <x:v>11.48</x:v>
      </x:c>
      <x:c r="H126" t="str">
        <x:v>4EF07_M</x:v>
      </x:c>
      <x:c r="I126" t="str">
        <x:v>Utilizar a operação de multiplicação entre números naturais, formados por até quatro algarismos, envolvendo o significado de adição de parcelas iguais, de organização retangular ou de proporcionalidade, na resolução de problema.</x:v>
      </x:c>
      <x:c r="J126" t="str">
        <x:v>EF04MA06</x:v>
      </x:c>
      <x:c r="K126" t="str">
        <x:v>Resolver e elaborar problemas envolvendo diferentes significados da multiplicação (adição de parcelas iguais, organização retangular e proporcionalidade), utilizando estratégias diversas, como cálculo por estimativa, cálculo mental e algoritmos.</x:v>
      </x:c>
      <x:c r="L126" t="str">
        <x:v>Associação curricular documentada não demonstra equivalência integral, pré-requisito causal ou domínio individual da BNCC.</x:v>
      </x:c>
      <x:c r="M126" t="str">
        <x:v>mapeamento rastreado</x:v>
      </x:c>
      <x:c r="N126" t="str">
        <x:v>https://drive.google.com/file/d/1n8F2kDfidB84QrJTtrHgbhUHL2G311qV/view</x:v>
      </x:c>
    </x:row>
    <x:row r="127" ht="22" customHeight="1">
      <x:c r="A127" t="n">
        <x:v>5</x:v>
      </x:c>
      <x:c r="B127" t="str">
        <x:v>MATEMATICA</x:v>
      </x:c>
      <x:c r="C127" t="str">
        <x:v>H 12</x:v>
      </x:c>
      <x:c r="D127" t="n">
        <x:v>29</x:v>
      </x:c>
      <x:c r="E127" t="n">
        <x:v>54</x:v>
      </x:c>
      <x:c r="F127" t="n">
        <x:v>53.7</x:v>
      </x:c>
      <x:c r="G127" t="n">
        <x:v>26.3</x:v>
      </x:c>
      <x:c r="H127" t="str">
        <x:v>4EF08_M</x:v>
      </x:c>
      <x:c r="I127" t="str">
        <x:v>Efetuar a operação de divisão de um número natural, formado por até quatro algarismos, por outro, formado por até dois algarismos.</x:v>
      </x:c>
      <x:c r="J127" t="str">
        <x:v>EF04MA07</x:v>
      </x:c>
      <x:c r="K127" t="str">
        <x:v>Resolver e elaborar problemas de divisão cujo divisor tenha no máximo dois algarismos, envolvendo os significados de repartição equitativa e de medida, utilizando estratégias diversas, como cálculo por estimativa, cálculo mental e algoritmos.</x:v>
      </x:c>
      <x:c r="L127" t="str">
        <x:v>Associação curricular documentada não demonstra equivalência integral, pré-requisito causal ou domínio individual da BNCC.</x:v>
      </x:c>
      <x:c r="M127" t="str">
        <x:v>mapeamento rastreado</x:v>
      </x:c>
      <x:c r="N127" t="str">
        <x:v>https://drive.google.com/file/d/1n8F2kDfidB84QrJTtrHgbhUHL2G311qV/view</x:v>
      </x:c>
    </x:row>
    <x:row r="128" ht="22" customHeight="1">
      <x:c r="A128" t="n">
        <x:v>5</x:v>
      </x:c>
      <x:c r="B128" t="str">
        <x:v>MATEMATICA</x:v>
      </x:c>
      <x:c r="C128" t="str">
        <x:v>H 13</x:v>
      </x:c>
      <x:c r="D128" t="n">
        <x:v>29</x:v>
      </x:c>
      <x:c r="E128" t="n">
        <x:v>54</x:v>
      </x:c>
      <x:c r="F128" t="n">
        <x:v>53.7</x:v>
      </x:c>
      <x:c r="G128" t="n">
        <x:v>26.3</x:v>
      </x:c>
      <x:c r="H128" t="str">
        <x:v>4EF09_M</x:v>
      </x:c>
      <x:c r="I128" t="str">
        <x:v>Utilizar a operação de divisão de um número natural, formado por até quatro algarismos, por outro, formado por até dois algarismos, envolvendo o significado de repartição equitativa ou de medida, na resolução de problema.</x:v>
      </x:c>
      <x:c r="J128" t="str">
        <x:v>EF03MA08, EF04MA07</x:v>
      </x:c>
      <x:c r="K128" t="str">
        <x:v>Resolver e elaborar problemas de divisão de um número natural por outro (até 10), com resto zero e com resto diferente de zero, com os significados de repartição equitativa e de medida, por meio de estratégias e registros pessoais. | Resolver e elaborar problemas de divisão cujo divisor tenha no máximo dois algarismos, envolvendo os significados de repartição equitativa e de medida, utilizando estratégias diversas, c</x:v>
      </x:c>
      <x:c r="L128" t="str">
        <x:v>Associação curricular documentada não demonstra equivalência integral, pré-requisito causal ou domínio individual da BNCC.</x:v>
      </x:c>
      <x:c r="M128" t="str">
        <x:v>mapeamento rastreado</x:v>
      </x:c>
      <x:c r="N128" t="str">
        <x:v>https://drive.google.com/file/d/1n8F2kDfidB84QrJTtrHgbhUHL2G311qV/view</x:v>
      </x:c>
    </x:row>
    <x:row r="129" ht="22" customHeight="1">
      <x:c r="A129" t="n">
        <x:v>5</x:v>
      </x:c>
      <x:c r="B129" t="str">
        <x:v>MATEMATICA</x:v>
      </x:c>
      <x:c r="C129" t="str">
        <x:v>H 14</x:v>
      </x:c>
      <x:c r="D129" t="n">
        <x:v>25</x:v>
      </x:c>
      <x:c r="E129" t="n">
        <x:v>54</x:v>
      </x:c>
      <x:c r="F129" t="n">
        <x:v>46.3</x:v>
      </x:c>
      <x:c r="G129" t="n">
        <x:v>33.7</x:v>
      </x:c>
      <x:c r="H129" t="str">
        <x:v>4EF10_M</x:v>
      </x:c>
      <x:c r="I129" t="str">
        <x:v>Reconhecer ângulos retos e ângulos não retos em figuras geométricas planas.</x:v>
      </x:c>
      <x:c r="J129" t="str">
        <x:v>EF04MA18</x:v>
      </x:c>
      <x:c r="K129" t="str">
        <x:v>Reconhecer ângulos retos e não retos em figuras poligonais com o uso de dobraduras, esquadros ou softwares de geometria.</x:v>
      </x:c>
      <x:c r="L129" t="str">
        <x:v>Associação curricular documentada não demonstra equivalência integral, pré-requisito causal ou domínio individual da BNCC.</x:v>
      </x:c>
      <x:c r="M129" t="str">
        <x:v>mapeamento rastreado</x:v>
      </x:c>
      <x:c r="N129" t="str">
        <x:v>https://drive.google.com/file/d/1n8F2kDfidB84QrJTtrHgbhUHL2G311qV/view</x:v>
      </x:c>
    </x:row>
    <x:row r="130" ht="22" customHeight="1">
      <x:c r="A130" t="n">
        <x:v>5</x:v>
      </x:c>
      <x:c r="B130" t="str">
        <x:v>MATEMATICA</x:v>
      </x:c>
      <x:c r="C130" t="str">
        <x:v>H 15</x:v>
      </x:c>
      <x:c r="D130" t="n">
        <x:v>17</x:v>
      </x:c>
      <x:c r="E130" t="n">
        <x:v>54</x:v>
      </x:c>
      <x:c r="F130" t="n">
        <x:v>31.48</x:v>
      </x:c>
      <x:c r="G130" t="n">
        <x:v>48.52</x:v>
      </x:c>
      <x:c r="H130" t="str">
        <x:v>4EF11_M</x:v>
      </x:c>
      <x:c r="I130" t="str">
        <x:v>Medir área de figuras planas, desenhadas em malha quadriculada, cujos lados se posicionam sobre linhas de grade da malha.</x:v>
      </x:c>
      <x:c r="J130" t="str">
        <x:v>EF04MA21</x:v>
      </x:c>
      <x:c r="K130" t="str">
        <x:v>Medir, comparar e estimar área de figuras planas desenhadas em malha quadriculada, pela contagem dos quadradinhos ou de metades de quadradinho, reconhecendo que duas figuras com formatos diferentes podem ter a mesma medida de área.</x:v>
      </x:c>
      <x:c r="L130" t="str">
        <x:v>Associação curricular documentada não demonstra equivalência integral, pré-requisito causal ou domínio individual da BNCC.</x:v>
      </x:c>
      <x:c r="M130" t="str">
        <x:v>mapeamento rastreado</x:v>
      </x:c>
      <x:c r="N130" t="str">
        <x:v>https://drive.google.com/file/d/1n8F2kDfidB84QrJTtrHgbhUHL2G311qV/view</x:v>
      </x:c>
    </x:row>
    <x:row r="131" ht="22" customHeight="1">
      <x:c r="A131" t="n">
        <x:v>5</x:v>
      </x:c>
      <x:c r="B131" t="str">
        <x:v>MATEMATICA</x:v>
      </x:c>
      <x:c r="C131" t="str">
        <x:v>H 16</x:v>
      </x:c>
      <x:c r="D131" t="n">
        <x:v>46</x:v>
      </x:c>
      <x:c r="E131" t="n">
        <x:v>54</x:v>
      </x:c>
      <x:c r="F131" t="n">
        <x:v>85.19</x:v>
      </x:c>
      <x:c r="G131" t="n">
        <x:v>-5.19</x:v>
      </x:c>
      <x:c r="H131" t="str">
        <x:v>4EF12_M</x:v>
      </x:c>
      <x:c r="I131" t="str">
        <x:v>Utilizar valores do sistema monetário brasileiro em situações do cotidiano, na resolução de problema.</x:v>
      </x:c>
      <x:c r="J131" t="str">
        <x:v>EF03MA24, EF04MA25</x:v>
      </x:c>
      <x:c r="K131" t="str">
        <x:v>Resolver e elaborar problemas que envolvam a comparação e a equivalência de valores monetários do sistema brasileiro em situações de compra, venda e troca. | Resolver e elaborar problemas que envolvam situações de compra e venda e formas de pagamento, utilizando termos como troco e desconto, enfatizando o consumo ético, consciente e responsável.</x:v>
      </x:c>
      <x:c r="L131" t="str">
        <x:v>Associação curricular documentada não demonstra equivalência integral, pré-requisito causal ou domínio individual da BNCC.</x:v>
      </x:c>
      <x:c r="M131" t="str">
        <x:v>mapeamento rastreado</x:v>
      </x:c>
      <x:c r="N131" t="str">
        <x:v>https://drive.google.com/file/d/1n8F2kDfidB84QrJTtrHgbhUHL2G311qV/view</x:v>
      </x:c>
    </x:row>
    <x:row r="132" ht="22" customHeight="1">
      <x:c r="A132" t="n">
        <x:v>5</x:v>
      </x:c>
      <x:c r="B132" t="str">
        <x:v>MATEMATICA</x:v>
      </x:c>
      <x:c r="C132" t="str">
        <x:v>H 17</x:v>
      </x:c>
      <x:c r="D132" t="n">
        <x:v>38</x:v>
      </x:c>
      <x:c r="E132" t="n">
        <x:v>54</x:v>
      </x:c>
      <x:c r="F132" t="n">
        <x:v>70.37</x:v>
      </x:c>
      <x:c r="G132" t="n">
        <x:v>9.63</x:v>
      </x:c>
      <x:c r="H132" t="str">
        <x:v>4EF13_M</x:v>
      </x:c>
      <x:c r="I132" t="str">
        <x:v>Identificar, dentre resultados possíveis de um experimento aleatório, os que apresentam maiores ou menores chances de ocorrência.</x:v>
      </x:c>
      <x:c r="J132" t="str">
        <x:v>EF04MA26</x:v>
      </x:c>
      <x:c r="K132" t="str">
        <x:v>Identificar, entre eventos aleatórios cotidianos, aqueles que têm maior chance de ocorrência, reconhecendo características de resultados mais prováveis, sem utilizar frações.</x:v>
      </x:c>
      <x:c r="L132" t="str">
        <x:v>Associação curricular documentada não demonstra equivalência integral, pré-requisito causal ou domínio individual da BNCC.</x:v>
      </x:c>
      <x:c r="M132" t="str">
        <x:v>mapeamento rastreado</x:v>
      </x:c>
      <x:c r="N132" t="str">
        <x:v>https://drive.google.com/file/d/1n8F2kDfidB84QrJTtrHgbhUHL2G311qV/view</x:v>
      </x:c>
    </x:row>
    <x:row r="133" ht="22" customHeight="1">
      <x:c r="A133" t="n">
        <x:v>5</x:v>
      </x:c>
      <x:c r="B133" t="str">
        <x:v>MATEMATICA</x:v>
      </x:c>
      <x:c r="C133" t="str">
        <x:v>H 18</x:v>
      </x:c>
      <x:c r="D133" t="n">
        <x:v>84</x:v>
      </x:c>
      <x:c r="E133" t="n">
        <x:v>108</x:v>
      </x:c>
      <x:c r="F133" t="n">
        <x:v>77.78</x:v>
      </x:c>
      <x:c r="G133" t="n">
        <x:v>2.22</x:v>
      </x:c>
      <x:c r="H133" t="str">
        <x:v>5EF04_M</x:v>
      </x:c>
      <x:c r="I133" t="str">
        <x:v>Corresponder figuras geométricas espaciais (cilindro, cone, prisma ou pirâmide) à uma de suas planificações.</x:v>
      </x:c>
      <x:c r="J133" t="str">
        <x:v>EF03MA14, EF04MA17</x:v>
      </x:c>
      <x:c r="K133" t="str">
        <x:v>Descrever características de algumas figuras geométricas espaciais (prismas retos, pirâmides, cilindros, cones), relacionando-as com suas planificações. | Associar prismas e pirâmides a suas planificações e analisar, nomear e comparar seus atributos, estabelecendo relações entre as representações planas e espaciais.</x:v>
      </x:c>
      <x:c r="L133" t="str">
        <x:v>Associação curricular documentada não demonstra equivalência integral, pré-requisito causal ou domínio individual da BNCC.</x:v>
      </x:c>
      <x:c r="M133" t="str">
        <x:v>mapeamento rastreado</x:v>
      </x:c>
      <x:c r="N133" t="str">
        <x:v>https://drive.google.com/file/d/1n8F2kDfidB84QrJTtrHgbhUHL2G311qV/view</x:v>
      </x:c>
    </x:row>
    <x:row r="134" ht="22" customHeight="1">
      <x:c r="A134" t="n">
        <x:v>5</x:v>
      </x:c>
      <x:c r="B134" t="str">
        <x:v>MATEMATICA</x:v>
      </x:c>
      <x:c r="C134" t="str">
        <x:v>H 19</x:v>
      </x:c>
      <x:c r="D134" t="n">
        <x:v>89</x:v>
      </x:c>
      <x:c r="E134" t="n">
        <x:v>108</x:v>
      </x:c>
      <x:c r="F134" t="n">
        <x:v>82.41</x:v>
      </x:c>
      <x:c r="G134" t="n">
        <x:v>-2.41</x:v>
      </x:c>
      <x:c r="H134" t="str">
        <x:v>5EF07_M</x:v>
      </x:c>
      <x:c r="I134" t="str">
        <x:v>Interpretar dados estatísticos dispostos em gráficos de colunas agrupadas, de barras agrupadas ou de linhas.</x:v>
      </x:c>
      <x:c r="J134" t="str">
        <x:v>EF04MA27, EF05MA24</x:v>
      </x:c>
      <x:c r="K134" t="str">
        <x:v>Analisar dados apresentados em tabelas simples ou de dupla entrada e em gráficos de colunas ou pictóricos, com base em informações das diferentes áreas do conhecimento, e produzir texto com a síntese de sua análise. | Interpretar dados estatísticos apresentados em textos, tabelas e gráficos (colunas ou linhas), referentes a outras áreas do conhecimento ou a outros contextos, como saúde e trânsito, e produzir textos c</x:v>
      </x:c>
      <x:c r="L134" t="str">
        <x:v>Associação curricular documentada não demonstra equivalência integral, pré-requisito causal ou domínio individual da BNCC.</x:v>
      </x:c>
      <x:c r="M134" t="str">
        <x:v>mapeamento rastreado</x:v>
      </x:c>
      <x:c r="N134" t="str">
        <x:v>https://drive.google.com/file/d/1n8F2kDfidB84QrJTtrHgbhUHL2G311qV/view</x:v>
      </x:c>
    </x:row>
    <x:row r="135" ht="22" customHeight="1">
      <x:c r="A135" t="n">
        <x:v>5</x:v>
      </x:c>
      <x:c r="B135" t="str">
        <x:v>MATEMATICA</x:v>
      </x:c>
      <x:c r="C135"/>
      <x:c r="D135" t="n">
        <x:v>776</x:v>
      </x:c>
      <x:c r="E135" t="n">
        <x:v>1188</x:v>
      </x:c>
      <x:c r="F135" t="n">
        <x:v>65.32</x:v>
      </x:c>
      <x:c r="G135" t="n">
        <x:v>14.68</x:v>
      </x:c>
      <x:c r="H135" t="str"/>
      <x:c r="I135" t="str"/>
      <x:c r="J135" t="str"/>
      <x:c r="K135" t="str"/>
      <x:c r="L135" t="str"/>
      <x:c r="M135" t="str">
        <x:v>sem vínculo validado</x:v>
      </x:c>
      <x:c r="N135" t="str">
        <x:v>https://drive.google.com/file/d/1n8F2kDfidB84QrJTtrHgbhUHL2G311qV/view</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2" customHeight="1">
      <x:c r="A1" s="4" t="str">
        <x:v>Ano</x:v>
      </x:c>
      <x:c r="B1" s="4" t="str">
        <x:v>Família</x:v>
      </x:c>
      <x:c r="C1" s="4" t="str">
        <x:v>Método</x:v>
      </x:c>
      <x:c r="D1" s="4" t="str">
        <x:v>Variável X</x:v>
      </x:c>
      <x:c r="E1" s="4" t="str">
        <x:v>Variável Y</x:v>
      </x:c>
      <x:c r="F1" s="4" t="str">
        <x:v>N pares</x:v>
      </x:c>
      <x:c r="G1" s="4" t="str">
        <x:v>Coeficiente</x:v>
      </x:c>
      <x:c r="H1" s="4" t="str">
        <x:v>p</x:v>
      </x:c>
      <x:c r="I1" s="4" t="str">
        <x:v>q FDR global</x:v>
      </x:c>
      <x:c r="J1" s="4" t="str">
        <x:v>q&lt;0,05?</x:v>
      </x:c>
      <x:c r="K1" s="4" t="str">
        <x:v>Interpretação</x:v>
      </x:c>
    </x:row>
    <x:row r="2" ht="22" customHeight="1">
      <x:c r="A2" t="n">
        <x:v>3</x:v>
      </x:c>
      <x:c r="B2" t="str">
        <x:v>H_total_corrigido</x:v>
      </x:c>
      <x:c r="C2" t="str">
        <x:v>pearson</x:v>
      </x:c>
      <x:c r="D2" t="str">
        <x:v>H 01</x:v>
      </x:c>
      <x:c r="E2" t="str">
        <x:v>total_sem_bloco</x:v>
      </x:c>
      <x:c r="F2" t="n">
        <x:v>24</x:v>
      </x:c>
      <x:c r="G2" t="n">
        <x:v>0.9761</x:v>
      </x:c>
      <x:c r="H2" t="n">
        <x:v>0.0001</x:v>
      </x:c>
      <x:c r="I2" t="n">
        <x:v>0.000603</x:v>
      </x:c>
      <x:c r="J2" t="str">
        <x:v>Sim</x:v>
      </x:c>
      <x:c r="K2" t="str">
        <x:v>Associação observacional; não causal</x:v>
      </x:c>
    </x:row>
    <x:row r="3" ht="22" customHeight="1">
      <x:c r="A3" t="n">
        <x:v>3</x:v>
      </x:c>
      <x:c r="B3" t="str">
        <x:v>H_total_corrigido</x:v>
      </x:c>
      <x:c r="C3" t="str">
        <x:v>pearson</x:v>
      </x:c>
      <x:c r="D3" t="str">
        <x:v>H 09</x:v>
      </x:c>
      <x:c r="E3" t="str">
        <x:v>total_sem_bloco</x:v>
      </x:c>
      <x:c r="F3" t="n">
        <x:v>24</x:v>
      </x:c>
      <x:c r="G3" t="n">
        <x:v>0.9565</x:v>
      </x:c>
      <x:c r="H3" t="n">
        <x:v>0.0001</x:v>
      </x:c>
      <x:c r="I3" t="n">
        <x:v>0.000603</x:v>
      </x:c>
      <x:c r="J3" t="str">
        <x:v>Sim</x:v>
      </x:c>
      <x:c r="K3" t="str">
        <x:v>Associação observacional; não causal</x:v>
      </x:c>
    </x:row>
    <x:row r="4" ht="22" customHeight="1">
      <x:c r="A4" t="n">
        <x:v>3</x:v>
      </x:c>
      <x:c r="B4" t="str">
        <x:v>H_total_corrigido</x:v>
      </x:c>
      <x:c r="C4" t="str">
        <x:v>pearson</x:v>
      </x:c>
      <x:c r="D4" t="str">
        <x:v>H 11</x:v>
      </x:c>
      <x:c r="E4" t="str">
        <x:v>total_sem_bloco</x:v>
      </x:c>
      <x:c r="F4" t="n">
        <x:v>24</x:v>
      </x:c>
      <x:c r="G4" t="n">
        <x:v>0.9565</x:v>
      </x:c>
      <x:c r="H4" t="n">
        <x:v>0.0001</x:v>
      </x:c>
      <x:c r="I4" t="n">
        <x:v>0.000603</x:v>
      </x:c>
      <x:c r="J4" t="str">
        <x:v>Sim</x:v>
      </x:c>
      <x:c r="K4" t="str">
        <x:v>Associação observacional; não causal</x:v>
      </x:c>
    </x:row>
    <x:row r="5" ht="22" customHeight="1">
      <x:c r="A5" t="n">
        <x:v>3</x:v>
      </x:c>
      <x:c r="B5" t="str">
        <x:v>H_total_corrigido</x:v>
      </x:c>
      <x:c r="C5" t="str">
        <x:v>pearson</x:v>
      </x:c>
      <x:c r="D5" t="str">
        <x:v>H 12</x:v>
      </x:c>
      <x:c r="E5" t="str">
        <x:v>total_sem_bloco</x:v>
      </x:c>
      <x:c r="F5" t="n">
        <x:v>24</x:v>
      </x:c>
      <x:c r="G5" t="n">
        <x:v>0.9565</x:v>
      </x:c>
      <x:c r="H5" t="n">
        <x:v>0.0001</x:v>
      </x:c>
      <x:c r="I5" t="n">
        <x:v>0.000603</x:v>
      </x:c>
      <x:c r="J5" t="str">
        <x:v>Sim</x:v>
      </x:c>
      <x:c r="K5" t="str">
        <x:v>Associação observacional; não causal</x:v>
      </x:c>
    </x:row>
    <x:row r="6" ht="22" customHeight="1">
      <x:c r="A6" t="n">
        <x:v>2</x:v>
      </x:c>
      <x:c r="B6" t="str">
        <x:v>intercomponentes</x:v>
      </x:c>
      <x:c r="C6" t="str">
        <x:v>pearson</x:v>
      </x:c>
      <x:c r="D6" t="str">
        <x:v>leitura_taxa</x:v>
      </x:c>
      <x:c r="E6" t="str">
        <x:v>matematica_taxa</x:v>
      </x:c>
      <x:c r="F6" t="n">
        <x:v>28</x:v>
      </x:c>
      <x:c r="G6" t="n">
        <x:v>0.9342</x:v>
      </x:c>
      <x:c r="H6" t="n">
        <x:v>0.0001</x:v>
      </x:c>
      <x:c r="I6" t="n">
        <x:v>0.000603</x:v>
      </x:c>
      <x:c r="J6" t="str">
        <x:v>Sim</x:v>
      </x:c>
      <x:c r="K6" t="str">
        <x:v>Associação observacional; não causal</x:v>
      </x:c>
    </x:row>
    <x:row r="7" ht="22" customHeight="1">
      <x:c r="A7" t="n">
        <x:v>3</x:v>
      </x:c>
      <x:c r="B7" t="str">
        <x:v>H_total_corrigido</x:v>
      </x:c>
      <x:c r="C7" t="str">
        <x:v>pearson</x:v>
      </x:c>
      <x:c r="D7" t="str">
        <x:v>H 06</x:v>
      </x:c>
      <x:c r="E7" t="str">
        <x:v>total_sem_bloco</x:v>
      </x:c>
      <x:c r="F7" t="n">
        <x:v>24</x:v>
      </x:c>
      <x:c r="G7" t="n">
        <x:v>0.926</x:v>
      </x:c>
      <x:c r="H7" t="n">
        <x:v>0.0001</x:v>
      </x:c>
      <x:c r="I7" t="n">
        <x:v>0.000603</x:v>
      </x:c>
      <x:c r="J7" t="str">
        <x:v>Sim</x:v>
      </x:c>
      <x:c r="K7" t="str">
        <x:v>Associação observacional; não causal</x:v>
      </x:c>
    </x:row>
    <x:row r="8" ht="22" customHeight="1">
      <x:c r="A8" t="n">
        <x:v>3</x:v>
      </x:c>
      <x:c r="B8" t="str">
        <x:v>intercomponentes</x:v>
      </x:c>
      <x:c r="C8" t="str">
        <x:v>spearman</x:v>
      </x:c>
      <x:c r="D8" t="str">
        <x:v>escrita_nota</x:v>
      </x:c>
      <x:c r="E8" t="str">
        <x:v>fluencia_palavras</x:v>
      </x:c>
      <x:c r="F8" t="n">
        <x:v>24</x:v>
      </x:c>
      <x:c r="G8" t="n">
        <x:v>0.9027</x:v>
      </x:c>
      <x:c r="H8" t="n">
        <x:v>0.0001</x:v>
      </x:c>
      <x:c r="I8" t="n">
        <x:v>0.000603</x:v>
      </x:c>
      <x:c r="J8" t="str">
        <x:v>Sim</x:v>
      </x:c>
      <x:c r="K8" t="str">
        <x:v>Associação observacional; não causal</x:v>
      </x:c>
    </x:row>
    <x:row r="9" ht="22" customHeight="1">
      <x:c r="A9" t="n">
        <x:v>3</x:v>
      </x:c>
      <x:c r="B9" t="str">
        <x:v>H_total_corrigido</x:v>
      </x:c>
      <x:c r="C9" t="str">
        <x:v>pearson</x:v>
      </x:c>
      <x:c r="D9" t="str">
        <x:v>H 03</x:v>
      </x:c>
      <x:c r="E9" t="str">
        <x:v>total_sem_bloco</x:v>
      </x:c>
      <x:c r="F9" t="n">
        <x:v>24</x:v>
      </x:c>
      <x:c r="G9" t="n">
        <x:v>0.8945</x:v>
      </x:c>
      <x:c r="H9" t="n">
        <x:v>0.0001</x:v>
      </x:c>
      <x:c r="I9" t="n">
        <x:v>0.000603</x:v>
      </x:c>
      <x:c r="J9" t="str">
        <x:v>Sim</x:v>
      </x:c>
      <x:c r="K9" t="str">
        <x:v>Associação observacional; não causal</x:v>
      </x:c>
    </x:row>
    <x:row r="10" ht="22" customHeight="1">
      <x:c r="A10" t="n">
        <x:v>2</x:v>
      </x:c>
      <x:c r="B10" t="str">
        <x:v>H_total_corrigido</x:v>
      </x:c>
      <x:c r="C10" t="str">
        <x:v>pearson</x:v>
      </x:c>
      <x:c r="D10" t="str">
        <x:v>H 06</x:v>
      </x:c>
      <x:c r="E10" t="str">
        <x:v>total_sem_bloco</x:v>
      </x:c>
      <x:c r="F10" t="n">
        <x:v>28</x:v>
      </x:c>
      <x:c r="G10" t="n">
        <x:v>0.8802</x:v>
      </x:c>
      <x:c r="H10" t="n">
        <x:v>0.0001</x:v>
      </x:c>
      <x:c r="I10" t="n">
        <x:v>0.000603</x:v>
      </x:c>
      <x:c r="J10" t="str">
        <x:v>Sim</x:v>
      </x:c>
      <x:c r="K10" t="str">
        <x:v>Associação observacional; não causal</x:v>
      </x:c>
    </x:row>
    <x:row r="11" ht="22" customHeight="1">
      <x:c r="A11" t="n">
        <x:v>2</x:v>
      </x:c>
      <x:c r="B11" t="str">
        <x:v>intercomponentes</x:v>
      </x:c>
      <x:c r="C11" t="str">
        <x:v>spearman</x:v>
      </x:c>
      <x:c r="D11" t="str">
        <x:v>leitura_taxa</x:v>
      </x:c>
      <x:c r="E11" t="str">
        <x:v>matematica_taxa</x:v>
      </x:c>
      <x:c r="F11" t="n">
        <x:v>28</x:v>
      </x:c>
      <x:c r="G11" t="n">
        <x:v>0.873</x:v>
      </x:c>
      <x:c r="H11" t="n">
        <x:v>0.0001</x:v>
      </x:c>
      <x:c r="I11" t="n">
        <x:v>0.000603</x:v>
      </x:c>
      <x:c r="J11" t="str">
        <x:v>Sim</x:v>
      </x:c>
      <x:c r="K11" t="str">
        <x:v>Associação observacional; não causal</x:v>
      </x:c>
    </x:row>
    <x:row r="12" ht="22" customHeight="1">
      <x:c r="A12" t="n">
        <x:v>2</x:v>
      </x:c>
      <x:c r="B12" t="str">
        <x:v>H_total_corrigido</x:v>
      </x:c>
      <x:c r="C12" t="str">
        <x:v>pearson</x:v>
      </x:c>
      <x:c r="D12" t="str">
        <x:v>H 10</x:v>
      </x:c>
      <x:c r="E12" t="str">
        <x:v>total_sem_bloco</x:v>
      </x:c>
      <x:c r="F12" t="n">
        <x:v>28</x:v>
      </x:c>
      <x:c r="G12" t="n">
        <x:v>0.8613</x:v>
      </x:c>
      <x:c r="H12" t="n">
        <x:v>0.0001</x:v>
      </x:c>
      <x:c r="I12" t="n">
        <x:v>0.000603</x:v>
      </x:c>
      <x:c r="J12" t="str">
        <x:v>Sim</x:v>
      </x:c>
      <x:c r="K12" t="str">
        <x:v>Associação observacional; não causal</x:v>
      </x:c>
    </x:row>
    <x:row r="13" ht="22" customHeight="1">
      <x:c r="A13" t="n">
        <x:v>3</x:v>
      </x:c>
      <x:c r="B13" t="str">
        <x:v>intercomponentes</x:v>
      </x:c>
      <x:c r="C13" t="str">
        <x:v>spearman</x:v>
      </x:c>
      <x:c r="D13" t="str">
        <x:v>escrita_nota</x:v>
      </x:c>
      <x:c r="E13" t="str">
        <x:v>fluencia_compreensao_acertos</x:v>
      </x:c>
      <x:c r="F13" t="n">
        <x:v>24</x:v>
      </x:c>
      <x:c r="G13" t="n">
        <x:v>0.8604</x:v>
      </x:c>
      <x:c r="H13" t="n">
        <x:v>0.0001</x:v>
      </x:c>
      <x:c r="I13" t="n">
        <x:v>0.000603</x:v>
      </x:c>
      <x:c r="J13" t="str">
        <x:v>Sim</x:v>
      </x:c>
      <x:c r="K13" t="str">
        <x:v>Associação observacional; não causal</x:v>
      </x:c>
    </x:row>
    <x:row r="14" ht="22" customHeight="1">
      <x:c r="A14" t="n">
        <x:v>3</x:v>
      </x:c>
      <x:c r="B14" t="str">
        <x:v>intercomponentes</x:v>
      </x:c>
      <x:c r="C14" t="str">
        <x:v>pearson</x:v>
      </x:c>
      <x:c r="D14" t="str">
        <x:v>escrita_nota</x:v>
      </x:c>
      <x:c r="E14" t="str">
        <x:v>fluencia_compreensao_acertos</x:v>
      </x:c>
      <x:c r="F14" t="n">
        <x:v>24</x:v>
      </x:c>
      <x:c r="G14" t="n">
        <x:v>0.8602</x:v>
      </x:c>
      <x:c r="H14" t="n">
        <x:v>0.0001</x:v>
      </x:c>
      <x:c r="I14" t="n">
        <x:v>0.000603</x:v>
      </x:c>
      <x:c r="J14" t="str">
        <x:v>Sim</x:v>
      </x:c>
      <x:c r="K14" t="str">
        <x:v>Associação observacional; não causal</x:v>
      </x:c>
    </x:row>
    <x:row r="15" ht="22" customHeight="1">
      <x:c r="A15" t="n">
        <x:v>2</x:v>
      </x:c>
      <x:c r="B15" t="str">
        <x:v>H_total_corrigido</x:v>
      </x:c>
      <x:c r="C15" t="str">
        <x:v>pearson</x:v>
      </x:c>
      <x:c r="D15" t="str">
        <x:v>H 11</x:v>
      </x:c>
      <x:c r="E15" t="str">
        <x:v>total_sem_bloco</x:v>
      </x:c>
      <x:c r="F15" t="n">
        <x:v>28</x:v>
      </x:c>
      <x:c r="G15" t="n">
        <x:v>0.8507</x:v>
      </x:c>
      <x:c r="H15" t="n">
        <x:v>0.0001</x:v>
      </x:c>
      <x:c r="I15" t="n">
        <x:v>0.000603</x:v>
      </x:c>
      <x:c r="J15" t="str">
        <x:v>Sim</x:v>
      </x:c>
      <x:c r="K15" t="str">
        <x:v>Associação observacional; não causal</x:v>
      </x:c>
    </x:row>
    <x:row r="16" ht="22" customHeight="1">
      <x:c r="A16" t="n">
        <x:v>3</x:v>
      </x:c>
      <x:c r="B16" t="str">
        <x:v>H_total_corrigido</x:v>
      </x:c>
      <x:c r="C16" t="str">
        <x:v>spearman</x:v>
      </x:c>
      <x:c r="D16" t="str">
        <x:v>H 09</x:v>
      </x:c>
      <x:c r="E16" t="str">
        <x:v>total_sem_bloco</x:v>
      </x:c>
      <x:c r="F16" t="n">
        <x:v>24</x:v>
      </x:c>
      <x:c r="G16" t="n">
        <x:v>0.8449</x:v>
      </x:c>
      <x:c r="H16" t="n">
        <x:v>0.0001</x:v>
      </x:c>
      <x:c r="I16" t="n">
        <x:v>0.000603</x:v>
      </x:c>
      <x:c r="J16" t="str">
        <x:v>Sim</x:v>
      </x:c>
      <x:c r="K16" t="str">
        <x:v>Associação observacional; não causal</x:v>
      </x:c>
    </x:row>
    <x:row r="17" ht="22" customHeight="1">
      <x:c r="A17" t="n">
        <x:v>3</x:v>
      </x:c>
      <x:c r="B17" t="str">
        <x:v>H_total_corrigido</x:v>
      </x:c>
      <x:c r="C17" t="str">
        <x:v>spearman</x:v>
      </x:c>
      <x:c r="D17" t="str">
        <x:v>H 11</x:v>
      </x:c>
      <x:c r="E17" t="str">
        <x:v>total_sem_bloco</x:v>
      </x:c>
      <x:c r="F17" t="n">
        <x:v>24</x:v>
      </x:c>
      <x:c r="G17" t="n">
        <x:v>0.8449</x:v>
      </x:c>
      <x:c r="H17" t="n">
        <x:v>0.0001</x:v>
      </x:c>
      <x:c r="I17" t="n">
        <x:v>0.000603</x:v>
      </x:c>
      <x:c r="J17" t="str">
        <x:v>Sim</x:v>
      </x:c>
      <x:c r="K17" t="str">
        <x:v>Associação observacional; não causal</x:v>
      </x:c>
    </x:row>
    <x:row r="18" ht="22" customHeight="1">
      <x:c r="A18" t="n">
        <x:v>3</x:v>
      </x:c>
      <x:c r="B18" t="str">
        <x:v>H_total_corrigido</x:v>
      </x:c>
      <x:c r="C18" t="str">
        <x:v>spearman</x:v>
      </x:c>
      <x:c r="D18" t="str">
        <x:v>H 12</x:v>
      </x:c>
      <x:c r="E18" t="str">
        <x:v>total_sem_bloco</x:v>
      </x:c>
      <x:c r="F18" t="n">
        <x:v>24</x:v>
      </x:c>
      <x:c r="G18" t="n">
        <x:v>0.8449</x:v>
      </x:c>
      <x:c r="H18" t="n">
        <x:v>0.0001</x:v>
      </x:c>
      <x:c r="I18" t="n">
        <x:v>0.000603</x:v>
      </x:c>
      <x:c r="J18" t="str">
        <x:v>Sim</x:v>
      </x:c>
      <x:c r="K18" t="str">
        <x:v>Associação observacional; não causal</x:v>
      </x:c>
    </x:row>
    <x:row r="19" ht="22" customHeight="1">
      <x:c r="A19" t="n">
        <x:v>2</x:v>
      </x:c>
      <x:c r="B19" t="str">
        <x:v>H_total_corrigido</x:v>
      </x:c>
      <x:c r="C19" t="str">
        <x:v>pearson</x:v>
      </x:c>
      <x:c r="D19" t="str">
        <x:v>H 08</x:v>
      </x:c>
      <x:c r="E19" t="str">
        <x:v>total_sem_bloco</x:v>
      </x:c>
      <x:c r="F19" t="n">
        <x:v>28</x:v>
      </x:c>
      <x:c r="G19" t="n">
        <x:v>0.8445</x:v>
      </x:c>
      <x:c r="H19" t="n">
        <x:v>0.0001</x:v>
      </x:c>
      <x:c r="I19" t="n">
        <x:v>0.000603</x:v>
      </x:c>
      <x:c r="J19" t="str">
        <x:v>Sim</x:v>
      </x:c>
      <x:c r="K19" t="str">
        <x:v>Associação observacional; não causal</x:v>
      </x:c>
    </x:row>
    <x:row r="20" ht="22" customHeight="1">
      <x:c r="A20" t="n">
        <x:v>3</x:v>
      </x:c>
      <x:c r="B20" t="str">
        <x:v>intercomponentes</x:v>
      </x:c>
      <x:c r="C20" t="str">
        <x:v>pearson</x:v>
      </x:c>
      <x:c r="D20" t="str">
        <x:v>escrita_nota</x:v>
      </x:c>
      <x:c r="E20" t="str">
        <x:v>fluencia_palavras</x:v>
      </x:c>
      <x:c r="F20" t="n">
        <x:v>24</x:v>
      </x:c>
      <x:c r="G20" t="n">
        <x:v>0.84</x:v>
      </x:c>
      <x:c r="H20" t="n">
        <x:v>0.0001</x:v>
      </x:c>
      <x:c r="I20" t="n">
        <x:v>0.000603</x:v>
      </x:c>
      <x:c r="J20" t="str">
        <x:v>Sim</x:v>
      </x:c>
      <x:c r="K20" t="str">
        <x:v>Associação observacional; não causal</x:v>
      </x:c>
    </x:row>
    <x:row r="21" ht="22" customHeight="1">
      <x:c r="A21" t="n">
        <x:v>3</x:v>
      </x:c>
      <x:c r="B21" t="str">
        <x:v>H_total_corrigido</x:v>
      </x:c>
      <x:c r="C21" t="str">
        <x:v>pearson</x:v>
      </x:c>
      <x:c r="D21" t="str">
        <x:v>H 09</x:v>
      </x:c>
      <x:c r="E21" t="str">
        <x:v>total_sem_bloco</x:v>
      </x:c>
      <x:c r="F21" t="n">
        <x:v>24</x:v>
      </x:c>
      <x:c r="G21" t="n">
        <x:v>0.8254</x:v>
      </x:c>
      <x:c r="H21" t="n">
        <x:v>0.0001</x:v>
      </x:c>
      <x:c r="I21" t="n">
        <x:v>0.000603</x:v>
      </x:c>
      <x:c r="J21" t="str">
        <x:v>Sim</x:v>
      </x:c>
      <x:c r="K21" t="str">
        <x:v>Associação observacional; não causal</x:v>
      </x:c>
    </x:row>
    <x:row r="22" ht="22" customHeight="1">
      <x:c r="A22" t="n">
        <x:v>2</x:v>
      </x:c>
      <x:c r="B22" t="str">
        <x:v>H_total_corrigido</x:v>
      </x:c>
      <x:c r="C22" t="str">
        <x:v>pearson</x:v>
      </x:c>
      <x:c r="D22" t="str">
        <x:v>H 05</x:v>
      </x:c>
      <x:c r="E22" t="str">
        <x:v>total_sem_bloco</x:v>
      </x:c>
      <x:c r="F22" t="n">
        <x:v>28</x:v>
      </x:c>
      <x:c r="G22" t="n">
        <x:v>0.8238</x:v>
      </x:c>
      <x:c r="H22" t="n">
        <x:v>0.0001</x:v>
      </x:c>
      <x:c r="I22" t="n">
        <x:v>0.000603</x:v>
      </x:c>
      <x:c r="J22" t="str">
        <x:v>Sim</x:v>
      </x:c>
      <x:c r="K22" t="str">
        <x:v>Associação observacional; não causal</x:v>
      </x:c>
    </x:row>
    <x:row r="23" ht="22" customHeight="1">
      <x:c r="A23" t="n">
        <x:v>4</x:v>
      </x:c>
      <x:c r="B23" t="str">
        <x:v>H_total_corrigido</x:v>
      </x:c>
      <x:c r="C23" t="str">
        <x:v>pearson</x:v>
      </x:c>
      <x:c r="D23" t="str">
        <x:v>H 08</x:v>
      </x:c>
      <x:c r="E23" t="str">
        <x:v>total_sem_bloco</x:v>
      </x:c>
      <x:c r="F23" t="n">
        <x:v>42</x:v>
      </x:c>
      <x:c r="G23" t="n">
        <x:v>0.8198</x:v>
      </x:c>
      <x:c r="H23" t="n">
        <x:v>0.0001</x:v>
      </x:c>
      <x:c r="I23" t="n">
        <x:v>0.000603</x:v>
      </x:c>
      <x:c r="J23" t="str">
        <x:v>Sim</x:v>
      </x:c>
      <x:c r="K23" t="str">
        <x:v>Associação observacional; não causal</x:v>
      </x:c>
    </x:row>
    <x:row r="24" ht="22" customHeight="1">
      <x:c r="A24" t="n">
        <x:v>2</x:v>
      </x:c>
      <x:c r="B24" t="str">
        <x:v>H_total_corrigido</x:v>
      </x:c>
      <x:c r="C24" t="str">
        <x:v>pearson</x:v>
      </x:c>
      <x:c r="D24" t="str">
        <x:v>H 04</x:v>
      </x:c>
      <x:c r="E24" t="str">
        <x:v>total_sem_bloco</x:v>
      </x:c>
      <x:c r="F24" t="n">
        <x:v>28</x:v>
      </x:c>
      <x:c r="G24" t="n">
        <x:v>0.8197</x:v>
      </x:c>
      <x:c r="H24" t="n">
        <x:v>0.0001</x:v>
      </x:c>
      <x:c r="I24" t="n">
        <x:v>0.000603</x:v>
      </x:c>
      <x:c r="J24" t="str">
        <x:v>Sim</x:v>
      </x:c>
      <x:c r="K24" t="str">
        <x:v>Associação observacional; não causal</x:v>
      </x:c>
    </x:row>
    <x:row r="25" ht="22" customHeight="1">
      <x:c r="A25" t="n">
        <x:v>2</x:v>
      </x:c>
      <x:c r="B25" t="str">
        <x:v>H_total_corrigido</x:v>
      </x:c>
      <x:c r="C25" t="str">
        <x:v>pearson</x:v>
      </x:c>
      <x:c r="D25" t="str">
        <x:v>H 09</x:v>
      </x:c>
      <x:c r="E25" t="str">
        <x:v>total_sem_bloco</x:v>
      </x:c>
      <x:c r="F25" t="n">
        <x:v>28</x:v>
      </x:c>
      <x:c r="G25" t="n">
        <x:v>0.8065</x:v>
      </x:c>
      <x:c r="H25" t="n">
        <x:v>0.0001</x:v>
      </x:c>
      <x:c r="I25" t="n">
        <x:v>0.000603</x:v>
      </x:c>
      <x:c r="J25" t="str">
        <x:v>Sim</x:v>
      </x:c>
      <x:c r="K25" t="str">
        <x:v>Associação observacional; não causal</x:v>
      </x:c>
    </x:row>
    <x:row r="26" ht="22" customHeight="1">
      <x:c r="A26" t="n">
        <x:v>2</x:v>
      </x:c>
      <x:c r="B26" t="str">
        <x:v>H_total_corrigido</x:v>
      </x:c>
      <x:c r="C26" t="str">
        <x:v>pearson</x:v>
      </x:c>
      <x:c r="D26" t="str">
        <x:v>H 05</x:v>
      </x:c>
      <x:c r="E26" t="str">
        <x:v>total_sem_bloco</x:v>
      </x:c>
      <x:c r="F26" t="n">
        <x:v>28</x:v>
      </x:c>
      <x:c r="G26" t="n">
        <x:v>0.7955</x:v>
      </x:c>
      <x:c r="H26" t="n">
        <x:v>0.0001</x:v>
      </x:c>
      <x:c r="I26" t="n">
        <x:v>0.000603</x:v>
      </x:c>
      <x:c r="J26" t="str">
        <x:v>Sim</x:v>
      </x:c>
      <x:c r="K26" t="str">
        <x:v>Associação observacional; não causal</x:v>
      </x:c>
    </x:row>
    <x:row r="27" ht="22" customHeight="1">
      <x:c r="A27" t="n">
        <x:v>3</x:v>
      </x:c>
      <x:c r="B27" t="str">
        <x:v>H_total_corrigido</x:v>
      </x:c>
      <x:c r="C27" t="str">
        <x:v>pearson</x:v>
      </x:c>
      <x:c r="D27" t="str">
        <x:v>H 02</x:v>
      </x:c>
      <x:c r="E27" t="str">
        <x:v>total_sem_bloco</x:v>
      </x:c>
      <x:c r="F27" t="n">
        <x:v>24</x:v>
      </x:c>
      <x:c r="G27" t="n">
        <x:v>0.7925</x:v>
      </x:c>
      <x:c r="H27" t="n">
        <x:v>0.0001</x:v>
      </x:c>
      <x:c r="I27" t="n">
        <x:v>0.000603</x:v>
      </x:c>
      <x:c r="J27" t="str">
        <x:v>Sim</x:v>
      </x:c>
      <x:c r="K27" t="str">
        <x:v>Associação observacional; não causal</x:v>
      </x:c>
    </x:row>
    <x:row r="28" ht="22" customHeight="1">
      <x:c r="A28" t="n">
        <x:v>2</x:v>
      </x:c>
      <x:c r="B28" t="str">
        <x:v>H_total_corrigido</x:v>
      </x:c>
      <x:c r="C28" t="str">
        <x:v>spearman</x:v>
      </x:c>
      <x:c r="D28" t="str">
        <x:v>H 10</x:v>
      </x:c>
      <x:c r="E28" t="str">
        <x:v>total_sem_bloco</x:v>
      </x:c>
      <x:c r="F28" t="n">
        <x:v>28</x:v>
      </x:c>
      <x:c r="G28" t="n">
        <x:v>0.7765</x:v>
      </x:c>
      <x:c r="H28" t="n">
        <x:v>0.0001</x:v>
      </x:c>
      <x:c r="I28" t="n">
        <x:v>0.000603</x:v>
      </x:c>
      <x:c r="J28" t="str">
        <x:v>Sim</x:v>
      </x:c>
      <x:c r="K28" t="str">
        <x:v>Associação observacional; não causal</x:v>
      </x:c>
    </x:row>
    <x:row r="29" ht="22" customHeight="1">
      <x:c r="A29" t="n">
        <x:v>2</x:v>
      </x:c>
      <x:c r="B29" t="str">
        <x:v>H_total_corrigido</x:v>
      </x:c>
      <x:c r="C29" t="str">
        <x:v>spearman</x:v>
      </x:c>
      <x:c r="D29" t="str">
        <x:v>H 06</x:v>
      </x:c>
      <x:c r="E29" t="str">
        <x:v>total_sem_bloco</x:v>
      </x:c>
      <x:c r="F29" t="n">
        <x:v>28</x:v>
      </x:c>
      <x:c r="G29" t="n">
        <x:v>0.7728</x:v>
      </x:c>
      <x:c r="H29" t="n">
        <x:v>0.0001</x:v>
      </x:c>
      <x:c r="I29" t="n">
        <x:v>0.000603</x:v>
      </x:c>
      <x:c r="J29" t="str">
        <x:v>Sim</x:v>
      </x:c>
      <x:c r="K29" t="str">
        <x:v>Associação observacional; não causal</x:v>
      </x:c>
    </x:row>
    <x:row r="30" ht="22" customHeight="1">
      <x:c r="A30" t="n">
        <x:v>2</x:v>
      </x:c>
      <x:c r="B30" t="str">
        <x:v>H_total_corrigido</x:v>
      </x:c>
      <x:c r="C30" t="str">
        <x:v>spearman</x:v>
      </x:c>
      <x:c r="D30" t="str">
        <x:v>H 07</x:v>
      </x:c>
      <x:c r="E30" t="str">
        <x:v>total_sem_bloco</x:v>
      </x:c>
      <x:c r="F30" t="n">
        <x:v>28</x:v>
      </x:c>
      <x:c r="G30" t="n">
        <x:v>0.7594</x:v>
      </x:c>
      <x:c r="H30" t="n">
        <x:v>0.0001</x:v>
      </x:c>
      <x:c r="I30" t="n">
        <x:v>0.000603</x:v>
      </x:c>
      <x:c r="J30" t="str">
        <x:v>Sim</x:v>
      </x:c>
      <x:c r="K30" t="str">
        <x:v>Associação observacional; não causal</x:v>
      </x:c>
    </x:row>
    <x:row r="31" ht="22" customHeight="1">
      <x:c r="A31" t="n">
        <x:v>4</x:v>
      </x:c>
      <x:c r="B31" t="str">
        <x:v>H_total_corrigido</x:v>
      </x:c>
      <x:c r="C31" t="str">
        <x:v>pearson</x:v>
      </x:c>
      <x:c r="D31" t="str">
        <x:v>H 07</x:v>
      </x:c>
      <x:c r="E31" t="str">
        <x:v>total_sem_bloco</x:v>
      </x:c>
      <x:c r="F31" t="n">
        <x:v>42</x:v>
      </x:c>
      <x:c r="G31" t="n">
        <x:v>0.7578</x:v>
      </x:c>
      <x:c r="H31" t="n">
        <x:v>0.0001</x:v>
      </x:c>
      <x:c r="I31" t="n">
        <x:v>0.000603</x:v>
      </x:c>
      <x:c r="J31" t="str">
        <x:v>Sim</x:v>
      </x:c>
      <x:c r="K31" t="str">
        <x:v>Associação observacional; não causal</x:v>
      </x:c>
    </x:row>
    <x:row r="32" ht="22" customHeight="1">
      <x:c r="A32" t="n">
        <x:v>4</x:v>
      </x:c>
      <x:c r="B32" t="str">
        <x:v>H_total_corrigido</x:v>
      </x:c>
      <x:c r="C32" t="str">
        <x:v>spearman</x:v>
      </x:c>
      <x:c r="D32" t="str">
        <x:v>H 15</x:v>
      </x:c>
      <x:c r="E32" t="str">
        <x:v>total_sem_bloco</x:v>
      </x:c>
      <x:c r="F32" t="n">
        <x:v>42</x:v>
      </x:c>
      <x:c r="G32" t="n">
        <x:v>0.7492</x:v>
      </x:c>
      <x:c r="H32" t="n">
        <x:v>0.0001</x:v>
      </x:c>
      <x:c r="I32" t="n">
        <x:v>0.000603</x:v>
      </x:c>
      <x:c r="J32" t="str">
        <x:v>Sim</x:v>
      </x:c>
      <x:c r="K32" t="str">
        <x:v>Associação observacional; não causal</x:v>
      </x:c>
    </x:row>
    <x:row r="33" ht="22" customHeight="1">
      <x:c r="A33" t="n">
        <x:v>3</x:v>
      </x:c>
      <x:c r="B33" t="str">
        <x:v>H_total_corrigido</x:v>
      </x:c>
      <x:c r="C33" t="str">
        <x:v>spearman</x:v>
      </x:c>
      <x:c r="D33" t="str">
        <x:v>H 01</x:v>
      </x:c>
      <x:c r="E33" t="str">
        <x:v>total_sem_bloco</x:v>
      </x:c>
      <x:c r="F33" t="n">
        <x:v>24</x:v>
      </x:c>
      <x:c r="G33" t="n">
        <x:v>0.7473</x:v>
      </x:c>
      <x:c r="H33" t="n">
        <x:v>0.0001</x:v>
      </x:c>
      <x:c r="I33" t="n">
        <x:v>0.000603</x:v>
      </x:c>
      <x:c r="J33" t="str">
        <x:v>Sim</x:v>
      </x:c>
      <x:c r="K33" t="str">
        <x:v>Associação observacional; não causal</x:v>
      </x:c>
    </x:row>
    <x:row r="34" ht="22" customHeight="1">
      <x:c r="A34" t="n">
        <x:v>3</x:v>
      </x:c>
      <x:c r="B34" t="str">
        <x:v>H_total_corrigido</x:v>
      </x:c>
      <x:c r="C34" t="str">
        <x:v>spearman</x:v>
      </x:c>
      <x:c r="D34" t="str">
        <x:v>H 09</x:v>
      </x:c>
      <x:c r="E34" t="str">
        <x:v>total_sem_bloco</x:v>
      </x:c>
      <x:c r="F34" t="n">
        <x:v>24</x:v>
      </x:c>
      <x:c r="G34" t="n">
        <x:v>0.7427</x:v>
      </x:c>
      <x:c r="H34" t="n">
        <x:v>0.0001</x:v>
      </x:c>
      <x:c r="I34" t="n">
        <x:v>0.000603</x:v>
      </x:c>
      <x:c r="J34" t="str">
        <x:v>Sim</x:v>
      </x:c>
      <x:c r="K34" t="str">
        <x:v>Associação observacional; não causal</x:v>
      </x:c>
    </x:row>
    <x:row r="35" ht="22" customHeight="1">
      <x:c r="A35" t="n">
        <x:v>4</x:v>
      </x:c>
      <x:c r="B35" t="str">
        <x:v>H_total_corrigido</x:v>
      </x:c>
      <x:c r="C35" t="str">
        <x:v>spearman</x:v>
      </x:c>
      <x:c r="D35" t="str">
        <x:v>H 08</x:v>
      </x:c>
      <x:c r="E35" t="str">
        <x:v>total_sem_bloco</x:v>
      </x:c>
      <x:c r="F35" t="n">
        <x:v>42</x:v>
      </x:c>
      <x:c r="G35" t="n">
        <x:v>0.7421</x:v>
      </x:c>
      <x:c r="H35" t="n">
        <x:v>0.0001</x:v>
      </x:c>
      <x:c r="I35" t="n">
        <x:v>0.000603</x:v>
      </x:c>
      <x:c r="J35" t="str">
        <x:v>Sim</x:v>
      </x:c>
      <x:c r="K35" t="str">
        <x:v>Associação observacional; não causal</x:v>
      </x:c>
    </x:row>
    <x:row r="36" ht="22" customHeight="1">
      <x:c r="A36" t="n">
        <x:v>2</x:v>
      </x:c>
      <x:c r="B36" t="str">
        <x:v>H_total_corrigido</x:v>
      </x:c>
      <x:c r="C36" t="str">
        <x:v>spearman</x:v>
      </x:c>
      <x:c r="D36" t="str">
        <x:v>H 04</x:v>
      </x:c>
      <x:c r="E36" t="str">
        <x:v>total_sem_bloco</x:v>
      </x:c>
      <x:c r="F36" t="n">
        <x:v>28</x:v>
      </x:c>
      <x:c r="G36" t="n">
        <x:v>0.7403</x:v>
      </x:c>
      <x:c r="H36" t="n">
        <x:v>0.0001</x:v>
      </x:c>
      <x:c r="I36" t="n">
        <x:v>0.000603</x:v>
      </x:c>
      <x:c r="J36" t="str">
        <x:v>Sim</x:v>
      </x:c>
      <x:c r="K36" t="str">
        <x:v>Associação observacional; não causal</x:v>
      </x:c>
    </x:row>
    <x:row r="37" ht="22" customHeight="1">
      <x:c r="A37" t="n">
        <x:v>2</x:v>
      </x:c>
      <x:c r="B37" t="str">
        <x:v>H_total_corrigido</x:v>
      </x:c>
      <x:c r="C37" t="str">
        <x:v>pearson</x:v>
      </x:c>
      <x:c r="D37" t="str">
        <x:v>H 02</x:v>
      </x:c>
      <x:c r="E37" t="str">
        <x:v>total_sem_bloco</x:v>
      </x:c>
      <x:c r="F37" t="n">
        <x:v>28</x:v>
      </x:c>
      <x:c r="G37" t="n">
        <x:v>0.735</x:v>
      </x:c>
      <x:c r="H37" t="n">
        <x:v>0.0001</x:v>
      </x:c>
      <x:c r="I37" t="n">
        <x:v>0.000603</x:v>
      </x:c>
      <x:c r="J37" t="str">
        <x:v>Sim</x:v>
      </x:c>
      <x:c r="K37" t="str">
        <x:v>Associação observacional; não causal</x:v>
      </x:c>
    </x:row>
    <x:row r="38" ht="22" customHeight="1">
      <x:c r="A38" t="n">
        <x:v>2</x:v>
      </x:c>
      <x:c r="B38" t="str">
        <x:v>H_total_corrigido</x:v>
      </x:c>
      <x:c r="C38" t="str">
        <x:v>spearman</x:v>
      </x:c>
      <x:c r="D38" t="str">
        <x:v>H 07</x:v>
      </x:c>
      <x:c r="E38" t="str">
        <x:v>total_sem_bloco</x:v>
      </x:c>
      <x:c r="F38" t="n">
        <x:v>28</x:v>
      </x:c>
      <x:c r="G38" t="n">
        <x:v>0.7315</x:v>
      </x:c>
      <x:c r="H38" t="n">
        <x:v>0.0001</x:v>
      </x:c>
      <x:c r="I38" t="n">
        <x:v>0.000603</x:v>
      </x:c>
      <x:c r="J38" t="str">
        <x:v>Sim</x:v>
      </x:c>
      <x:c r="K38" t="str">
        <x:v>Associação observacional; não causal</x:v>
      </x:c>
    </x:row>
    <x:row r="39" ht="22" customHeight="1">
      <x:c r="A39" t="n">
        <x:v>4</x:v>
      </x:c>
      <x:c r="B39" t="str">
        <x:v>H_total_corrigido</x:v>
      </x:c>
      <x:c r="C39" t="str">
        <x:v>pearson</x:v>
      </x:c>
      <x:c r="D39" t="str">
        <x:v>H 02</x:v>
      </x:c>
      <x:c r="E39" t="str">
        <x:v>total_sem_bloco</x:v>
      </x:c>
      <x:c r="F39" t="n">
        <x:v>42</x:v>
      </x:c>
      <x:c r="G39" t="n">
        <x:v>0.7259</x:v>
      </x:c>
      <x:c r="H39" t="n">
        <x:v>0.0001</x:v>
      </x:c>
      <x:c r="I39" t="n">
        <x:v>0.000603</x:v>
      </x:c>
      <x:c r="J39" t="str">
        <x:v>Sim</x:v>
      </x:c>
      <x:c r="K39" t="str">
        <x:v>Associação observacional; não causal</x:v>
      </x:c>
    </x:row>
    <x:row r="40" ht="22" customHeight="1">
      <x:c r="A40" t="n">
        <x:v>4</x:v>
      </x:c>
      <x:c r="B40" t="str">
        <x:v>H_total_corrigido</x:v>
      </x:c>
      <x:c r="C40" t="str">
        <x:v>pearson</x:v>
      </x:c>
      <x:c r="D40" t="str">
        <x:v>H 11</x:v>
      </x:c>
      <x:c r="E40" t="str">
        <x:v>total_sem_bloco</x:v>
      </x:c>
      <x:c r="F40" t="n">
        <x:v>42</x:v>
      </x:c>
      <x:c r="G40" t="n">
        <x:v>0.7242</x:v>
      </x:c>
      <x:c r="H40" t="n">
        <x:v>0.0001</x:v>
      </x:c>
      <x:c r="I40" t="n">
        <x:v>0.000603</x:v>
      </x:c>
      <x:c r="J40" t="str">
        <x:v>Sim</x:v>
      </x:c>
      <x:c r="K40" t="str">
        <x:v>Associação observacional; não causal</x:v>
      </x:c>
    </x:row>
    <x:row r="41" ht="22" customHeight="1">
      <x:c r="A41" t="n">
        <x:v>4</x:v>
      </x:c>
      <x:c r="B41" t="str">
        <x:v>intercomponentes</x:v>
      </x:c>
      <x:c r="C41" t="str">
        <x:v>pearson</x:v>
      </x:c>
      <x:c r="D41" t="str">
        <x:v>leitura_taxa</x:v>
      </x:c>
      <x:c r="E41" t="str">
        <x:v>matematica_taxa</x:v>
      </x:c>
      <x:c r="F41" t="n">
        <x:v>42</x:v>
      </x:c>
      <x:c r="G41" t="n">
        <x:v>0.7233</x:v>
      </x:c>
      <x:c r="H41" t="n">
        <x:v>0.0001</x:v>
      </x:c>
      <x:c r="I41" t="n">
        <x:v>0.000603</x:v>
      </x:c>
      <x:c r="J41" t="str">
        <x:v>Sim</x:v>
      </x:c>
      <x:c r="K41" t="str">
        <x:v>Associação observacional; não causal</x:v>
      </x:c>
    </x:row>
    <x:row r="42" ht="22" customHeight="1">
      <x:c r="A42" t="n">
        <x:v>2</x:v>
      </x:c>
      <x:c r="B42" t="str">
        <x:v>H_total_corrigido</x:v>
      </x:c>
      <x:c r="C42" t="str">
        <x:v>pearson</x:v>
      </x:c>
      <x:c r="D42" t="str">
        <x:v>H 09</x:v>
      </x:c>
      <x:c r="E42" t="str">
        <x:v>total_sem_bloco</x:v>
      </x:c>
      <x:c r="F42" t="n">
        <x:v>28</x:v>
      </x:c>
      <x:c r="G42" t="n">
        <x:v>0.7213</x:v>
      </x:c>
      <x:c r="H42" t="n">
        <x:v>0.0001</x:v>
      </x:c>
      <x:c r="I42" t="n">
        <x:v>0.000603</x:v>
      </x:c>
      <x:c r="J42" t="str">
        <x:v>Sim</x:v>
      </x:c>
      <x:c r="K42" t="str">
        <x:v>Associação observacional; não causal</x:v>
      </x:c>
    </x:row>
    <x:row r="43" ht="22" customHeight="1">
      <x:c r="A43" t="n">
        <x:v>4</x:v>
      </x:c>
      <x:c r="B43" t="str">
        <x:v>intercomponentes</x:v>
      </x:c>
      <x:c r="C43" t="str">
        <x:v>spearman</x:v>
      </x:c>
      <x:c r="D43" t="str">
        <x:v>leitura_taxa</x:v>
      </x:c>
      <x:c r="E43" t="str">
        <x:v>matematica_taxa</x:v>
      </x:c>
      <x:c r="F43" t="n">
        <x:v>42</x:v>
      </x:c>
      <x:c r="G43" t="n">
        <x:v>0.7142</x:v>
      </x:c>
      <x:c r="H43" t="n">
        <x:v>0.0001</x:v>
      </x:c>
      <x:c r="I43" t="n">
        <x:v>0.000603</x:v>
      </x:c>
      <x:c r="J43" t="str">
        <x:v>Sim</x:v>
      </x:c>
      <x:c r="K43" t="str">
        <x:v>Associação observacional; não causal</x:v>
      </x:c>
    </x:row>
    <x:row r="44" ht="22" customHeight="1">
      <x:c r="A44" t="n">
        <x:v>4</x:v>
      </x:c>
      <x:c r="B44" t="str">
        <x:v>intercomponentes</x:v>
      </x:c>
      <x:c r="C44" t="str">
        <x:v>spearman</x:v>
      </x:c>
      <x:c r="D44" t="str">
        <x:v>leitura_taxa</x:v>
      </x:c>
      <x:c r="E44" t="str">
        <x:v>fluencia_palavras</x:v>
      </x:c>
      <x:c r="F44" t="n">
        <x:v>42</x:v>
      </x:c>
      <x:c r="G44" t="n">
        <x:v>0.7111</x:v>
      </x:c>
      <x:c r="H44" t="n">
        <x:v>0.0001</x:v>
      </x:c>
      <x:c r="I44" t="n">
        <x:v>0.000603</x:v>
      </x:c>
      <x:c r="J44" t="str">
        <x:v>Sim</x:v>
      </x:c>
      <x:c r="K44" t="str">
        <x:v>Associação observacional; não causal</x:v>
      </x:c>
    </x:row>
    <x:row r="45" ht="22" customHeight="1">
      <x:c r="A45" t="n">
        <x:v>4</x:v>
      </x:c>
      <x:c r="B45" t="str">
        <x:v>H_total_corrigido</x:v>
      </x:c>
      <x:c r="C45" t="str">
        <x:v>spearman</x:v>
      </x:c>
      <x:c r="D45" t="str">
        <x:v>H 11</x:v>
      </x:c>
      <x:c r="E45" t="str">
        <x:v>total_sem_bloco</x:v>
      </x:c>
      <x:c r="F45" t="n">
        <x:v>42</x:v>
      </x:c>
      <x:c r="G45" t="n">
        <x:v>0.7031</x:v>
      </x:c>
      <x:c r="H45" t="n">
        <x:v>0.0001</x:v>
      </x:c>
      <x:c r="I45" t="n">
        <x:v>0.000603</x:v>
      </x:c>
      <x:c r="J45" t="str">
        <x:v>Sim</x:v>
      </x:c>
      <x:c r="K45" t="str">
        <x:v>Associação observacional; não causal</x:v>
      </x:c>
    </x:row>
    <x:row r="46" ht="22" customHeight="1">
      <x:c r="A46" t="n">
        <x:v>2</x:v>
      </x:c>
      <x:c r="B46" t="str">
        <x:v>H_total_corrigido</x:v>
      </x:c>
      <x:c r="C46" t="str">
        <x:v>spearman</x:v>
      </x:c>
      <x:c r="D46" t="str">
        <x:v>H 05</x:v>
      </x:c>
      <x:c r="E46" t="str">
        <x:v>total_sem_bloco</x:v>
      </x:c>
      <x:c r="F46" t="n">
        <x:v>28</x:v>
      </x:c>
      <x:c r="G46" t="n">
        <x:v>0.7018</x:v>
      </x:c>
      <x:c r="H46" t="n">
        <x:v>0.0001</x:v>
      </x:c>
      <x:c r="I46" t="n">
        <x:v>0.000603</x:v>
      </x:c>
      <x:c r="J46" t="str">
        <x:v>Sim</x:v>
      </x:c>
      <x:c r="K46" t="str">
        <x:v>Associação observacional; não causal</x:v>
      </x:c>
    </x:row>
    <x:row r="47" ht="22" customHeight="1">
      <x:c r="A47" t="n">
        <x:v>4</x:v>
      </x:c>
      <x:c r="B47" t="str">
        <x:v>H_total_corrigido</x:v>
      </x:c>
      <x:c r="C47" t="str">
        <x:v>spearman</x:v>
      </x:c>
      <x:c r="D47" t="str">
        <x:v>H 10</x:v>
      </x:c>
      <x:c r="E47" t="str">
        <x:v>total_sem_bloco</x:v>
      </x:c>
      <x:c r="F47" t="n">
        <x:v>42</x:v>
      </x:c>
      <x:c r="G47" t="n">
        <x:v>0.6957</x:v>
      </x:c>
      <x:c r="H47" t="n">
        <x:v>0.0001</x:v>
      </x:c>
      <x:c r="I47" t="n">
        <x:v>0.000603</x:v>
      </x:c>
      <x:c r="J47" t="str">
        <x:v>Sim</x:v>
      </x:c>
      <x:c r="K47" t="str">
        <x:v>Associação observacional; não causal</x:v>
      </x:c>
    </x:row>
    <x:row r="48" ht="22" customHeight="1">
      <x:c r="A48" t="n">
        <x:v>2</x:v>
      </x:c>
      <x:c r="B48" t="str">
        <x:v>H_total_corrigido</x:v>
      </x:c>
      <x:c r="C48" t="str">
        <x:v>pearson</x:v>
      </x:c>
      <x:c r="D48" t="str">
        <x:v>H 07</x:v>
      </x:c>
      <x:c r="E48" t="str">
        <x:v>total_sem_bloco</x:v>
      </x:c>
      <x:c r="F48" t="n">
        <x:v>28</x:v>
      </x:c>
      <x:c r="G48" t="n">
        <x:v>0.6932</x:v>
      </x:c>
      <x:c r="H48" t="n">
        <x:v>0.0001</x:v>
      </x:c>
      <x:c r="I48" t="n">
        <x:v>0.000603</x:v>
      </x:c>
      <x:c r="J48" t="str">
        <x:v>Sim</x:v>
      </x:c>
      <x:c r="K48" t="str">
        <x:v>Associação observacional; não causal</x:v>
      </x:c>
    </x:row>
    <x:row r="49" ht="22" customHeight="1">
      <x:c r="A49" t="n">
        <x:v>2</x:v>
      </x:c>
      <x:c r="B49" t="str">
        <x:v>H_total_corrigido</x:v>
      </x:c>
      <x:c r="C49" t="str">
        <x:v>pearson</x:v>
      </x:c>
      <x:c r="D49" t="str">
        <x:v>H 07</x:v>
      </x:c>
      <x:c r="E49" t="str">
        <x:v>total_sem_bloco</x:v>
      </x:c>
      <x:c r="F49" t="n">
        <x:v>28</x:v>
      </x:c>
      <x:c r="G49" t="n">
        <x:v>0.6871</x:v>
      </x:c>
      <x:c r="H49" t="n">
        <x:v>0.0001</x:v>
      </x:c>
      <x:c r="I49" t="n">
        <x:v>0.000603</x:v>
      </x:c>
      <x:c r="J49" t="str">
        <x:v>Sim</x:v>
      </x:c>
      <x:c r="K49" t="str">
        <x:v>Associação observacional; não causal</x:v>
      </x:c>
    </x:row>
    <x:row r="50" ht="22" customHeight="1">
      <x:c r="A50" t="n">
        <x:v>4</x:v>
      </x:c>
      <x:c r="B50" t="str">
        <x:v>H_total_corrigido</x:v>
      </x:c>
      <x:c r="C50" t="str">
        <x:v>pearson</x:v>
      </x:c>
      <x:c r="D50" t="str">
        <x:v>H 09</x:v>
      </x:c>
      <x:c r="E50" t="str">
        <x:v>total_sem_bloco</x:v>
      </x:c>
      <x:c r="F50" t="n">
        <x:v>42</x:v>
      </x:c>
      <x:c r="G50" t="n">
        <x:v>0.6762</x:v>
      </x:c>
      <x:c r="H50" t="n">
        <x:v>0.0001</x:v>
      </x:c>
      <x:c r="I50" t="n">
        <x:v>0.000603</x:v>
      </x:c>
      <x:c r="J50" t="str">
        <x:v>Sim</x:v>
      </x:c>
      <x:c r="K50" t="str">
        <x:v>Associação observacional; não causal</x:v>
      </x:c>
    </x:row>
    <x:row r="51" ht="22" customHeight="1">
      <x:c r="A51" t="n">
        <x:v>4</x:v>
      </x:c>
      <x:c r="B51" t="str">
        <x:v>intercomponentes</x:v>
      </x:c>
      <x:c r="C51" t="str">
        <x:v>pearson</x:v>
      </x:c>
      <x:c r="D51" t="str">
        <x:v>leitura_taxa</x:v>
      </x:c>
      <x:c r="E51" t="str">
        <x:v>fluencia_palavras</x:v>
      </x:c>
      <x:c r="F51" t="n">
        <x:v>42</x:v>
      </x:c>
      <x:c r="G51" t="n">
        <x:v>0.6673</x:v>
      </x:c>
      <x:c r="H51" t="n">
        <x:v>0.0001</x:v>
      </x:c>
      <x:c r="I51" t="n">
        <x:v>0.000603</x:v>
      </x:c>
      <x:c r="J51" t="str">
        <x:v>Sim</x:v>
      </x:c>
      <x:c r="K51" t="str">
        <x:v>Associação observacional; não causal</x:v>
      </x:c>
    </x:row>
    <x:row r="52" ht="22" customHeight="1">
      <x:c r="A52" t="n">
        <x:v>4</x:v>
      </x:c>
      <x:c r="B52" t="str">
        <x:v>H_total_corrigido</x:v>
      </x:c>
      <x:c r="C52" t="str">
        <x:v>pearson</x:v>
      </x:c>
      <x:c r="D52" t="str">
        <x:v>H 10</x:v>
      </x:c>
      <x:c r="E52" t="str">
        <x:v>total_sem_bloco</x:v>
      </x:c>
      <x:c r="F52" t="n">
        <x:v>42</x:v>
      </x:c>
      <x:c r="G52" t="n">
        <x:v>0.6648</x:v>
      </x:c>
      <x:c r="H52" t="n">
        <x:v>0.0001</x:v>
      </x:c>
      <x:c r="I52" t="n">
        <x:v>0.000603</x:v>
      </x:c>
      <x:c r="J52" t="str">
        <x:v>Sim</x:v>
      </x:c>
      <x:c r="K52" t="str">
        <x:v>Associação observacional; não causal</x:v>
      </x:c>
    </x:row>
    <x:row r="53" ht="22" customHeight="1">
      <x:c r="A53" t="n">
        <x:v>4</x:v>
      </x:c>
      <x:c r="B53" t="str">
        <x:v>H_total_corrigido</x:v>
      </x:c>
      <x:c r="C53" t="str">
        <x:v>pearson</x:v>
      </x:c>
      <x:c r="D53" t="str">
        <x:v>H 09</x:v>
      </x:c>
      <x:c r="E53" t="str">
        <x:v>total_sem_bloco</x:v>
      </x:c>
      <x:c r="F53" t="n">
        <x:v>42</x:v>
      </x:c>
      <x:c r="G53" t="n">
        <x:v>0.6622</x:v>
      </x:c>
      <x:c r="H53" t="n">
        <x:v>0.0001</x:v>
      </x:c>
      <x:c r="I53" t="n">
        <x:v>0.000603</x:v>
      </x:c>
      <x:c r="J53" t="str">
        <x:v>Sim</x:v>
      </x:c>
      <x:c r="K53" t="str">
        <x:v>Associação observacional; não causal</x:v>
      </x:c>
    </x:row>
    <x:row r="54" ht="22" customHeight="1">
      <x:c r="A54" t="n">
        <x:v>4</x:v>
      </x:c>
      <x:c r="B54" t="str">
        <x:v>H_total_corrigido</x:v>
      </x:c>
      <x:c r="C54" t="str">
        <x:v>pearson</x:v>
      </x:c>
      <x:c r="D54" t="str">
        <x:v>H 15</x:v>
      </x:c>
      <x:c r="E54" t="str">
        <x:v>total_sem_bloco</x:v>
      </x:c>
      <x:c r="F54" t="n">
        <x:v>42</x:v>
      </x:c>
      <x:c r="G54" t="n">
        <x:v>0.6583</x:v>
      </x:c>
      <x:c r="H54" t="n">
        <x:v>0.0001</x:v>
      </x:c>
      <x:c r="I54" t="n">
        <x:v>0.000603</x:v>
      </x:c>
      <x:c r="J54" t="str">
        <x:v>Sim</x:v>
      </x:c>
      <x:c r="K54" t="str">
        <x:v>Associação observacional; não causal</x:v>
      </x:c>
    </x:row>
    <x:row r="55" ht="22" customHeight="1">
      <x:c r="A55" t="n">
        <x:v>4</x:v>
      </x:c>
      <x:c r="B55" t="str">
        <x:v>H_total_corrigido</x:v>
      </x:c>
      <x:c r="C55" t="str">
        <x:v>spearman</x:v>
      </x:c>
      <x:c r="D55" t="str">
        <x:v>H 09</x:v>
      </x:c>
      <x:c r="E55" t="str">
        <x:v>total_sem_bloco</x:v>
      </x:c>
      <x:c r="F55" t="n">
        <x:v>42</x:v>
      </x:c>
      <x:c r="G55" t="n">
        <x:v>0.6562</x:v>
      </x:c>
      <x:c r="H55" t="n">
        <x:v>0.0001</x:v>
      </x:c>
      <x:c r="I55" t="n">
        <x:v>0.000603</x:v>
      </x:c>
      <x:c r="J55" t="str">
        <x:v>Sim</x:v>
      </x:c>
      <x:c r="K55" t="str">
        <x:v>Associação observacional; não causal</x:v>
      </x:c>
    </x:row>
    <x:row r="56" ht="22" customHeight="1">
      <x:c r="A56" t="n">
        <x:v>4</x:v>
      </x:c>
      <x:c r="B56" t="str">
        <x:v>H_total_corrigido</x:v>
      </x:c>
      <x:c r="C56" t="str">
        <x:v>spearman</x:v>
      </x:c>
      <x:c r="D56" t="str">
        <x:v>H 07</x:v>
      </x:c>
      <x:c r="E56" t="str">
        <x:v>total_sem_bloco</x:v>
      </x:c>
      <x:c r="F56" t="n">
        <x:v>42</x:v>
      </x:c>
      <x:c r="G56" t="n">
        <x:v>0.6535</x:v>
      </x:c>
      <x:c r="H56" t="n">
        <x:v>0.0001</x:v>
      </x:c>
      <x:c r="I56" t="n">
        <x:v>0.000603</x:v>
      </x:c>
      <x:c r="J56" t="str">
        <x:v>Sim</x:v>
      </x:c>
      <x:c r="K56" t="str">
        <x:v>Associação observacional; não causal</x:v>
      </x:c>
    </x:row>
    <x:row r="57" ht="22" customHeight="1">
      <x:c r="A57" t="n">
        <x:v>4</x:v>
      </x:c>
      <x:c r="B57" t="str">
        <x:v>intercomponentes</x:v>
      </x:c>
      <x:c r="C57" t="str">
        <x:v>spearman</x:v>
      </x:c>
      <x:c r="D57" t="str">
        <x:v>escrita_nota</x:v>
      </x:c>
      <x:c r="E57" t="str">
        <x:v>fluencia_palavras</x:v>
      </x:c>
      <x:c r="F57" t="n">
        <x:v>41</x:v>
      </x:c>
      <x:c r="G57" t="n">
        <x:v>0.6524</x:v>
      </x:c>
      <x:c r="H57" t="n">
        <x:v>0.0001</x:v>
      </x:c>
      <x:c r="I57" t="n">
        <x:v>0.000603</x:v>
      </x:c>
      <x:c r="J57" t="str">
        <x:v>Sim</x:v>
      </x:c>
      <x:c r="K57" t="str">
        <x:v>Associação observacional; não causal</x:v>
      </x:c>
    </x:row>
    <x:row r="58" ht="22" customHeight="1">
      <x:c r="A58" t="n">
        <x:v>4</x:v>
      </x:c>
      <x:c r="B58" t="str">
        <x:v>intercomponentes</x:v>
      </x:c>
      <x:c r="C58" t="str">
        <x:v>pearson</x:v>
      </x:c>
      <x:c r="D58" t="str">
        <x:v>leitura_taxa</x:v>
      </x:c>
      <x:c r="E58" t="str">
        <x:v>escrita_nota</x:v>
      </x:c>
      <x:c r="F58" t="n">
        <x:v>41</x:v>
      </x:c>
      <x:c r="G58" t="n">
        <x:v>0.6511</x:v>
      </x:c>
      <x:c r="H58" t="n">
        <x:v>0.0001</x:v>
      </x:c>
      <x:c r="I58" t="n">
        <x:v>0.000603</x:v>
      </x:c>
      <x:c r="J58" t="str">
        <x:v>Sim</x:v>
      </x:c>
      <x:c r="K58" t="str">
        <x:v>Associação observacional; não causal</x:v>
      </x:c>
    </x:row>
    <x:row r="59" ht="22" customHeight="1">
      <x:c r="A59" t="n">
        <x:v>4</x:v>
      </x:c>
      <x:c r="B59" t="str">
        <x:v>intercomponentes</x:v>
      </x:c>
      <x:c r="C59" t="str">
        <x:v>spearman</x:v>
      </x:c>
      <x:c r="D59" t="str">
        <x:v>escrita_nota</x:v>
      </x:c>
      <x:c r="E59" t="str">
        <x:v>fluencia_desconhecidas</x:v>
      </x:c>
      <x:c r="F59" t="n">
        <x:v>41</x:v>
      </x:c>
      <x:c r="G59" t="n">
        <x:v>0.6494</x:v>
      </x:c>
      <x:c r="H59" t="n">
        <x:v>0.0001</x:v>
      </x:c>
      <x:c r="I59" t="n">
        <x:v>0.000603</x:v>
      </x:c>
      <x:c r="J59" t="str">
        <x:v>Sim</x:v>
      </x:c>
      <x:c r="K59" t="str">
        <x:v>Associação observacional; não causal</x:v>
      </x:c>
    </x:row>
    <x:row r="60" ht="22" customHeight="1">
      <x:c r="A60" t="n">
        <x:v>4</x:v>
      </x:c>
      <x:c r="B60" t="str">
        <x:v>intercomponentes</x:v>
      </x:c>
      <x:c r="C60" t="str">
        <x:v>spearman</x:v>
      </x:c>
      <x:c r="D60" t="str">
        <x:v>leitura_taxa</x:v>
      </x:c>
      <x:c r="E60" t="str">
        <x:v>fluencia_desconhecidas</x:v>
      </x:c>
      <x:c r="F60" t="n">
        <x:v>42</x:v>
      </x:c>
      <x:c r="G60" t="n">
        <x:v>0.6493</x:v>
      </x:c>
      <x:c r="H60" t="n">
        <x:v>0.0001</x:v>
      </x:c>
      <x:c r="I60" t="n">
        <x:v>0.000603</x:v>
      </x:c>
      <x:c r="J60" t="str">
        <x:v>Sim</x:v>
      </x:c>
      <x:c r="K60" t="str">
        <x:v>Associação observacional; não causal</x:v>
      </x:c>
    </x:row>
    <x:row r="61" ht="22" customHeight="1">
      <x:c r="A61" t="n">
        <x:v>4</x:v>
      </x:c>
      <x:c r="B61" t="str">
        <x:v>H_total_corrigido</x:v>
      </x:c>
      <x:c r="C61" t="str">
        <x:v>spearman</x:v>
      </x:c>
      <x:c r="D61" t="str">
        <x:v>H 02</x:v>
      </x:c>
      <x:c r="E61" t="str">
        <x:v>total_sem_bloco</x:v>
      </x:c>
      <x:c r="F61" t="n">
        <x:v>42</x:v>
      </x:c>
      <x:c r="G61" t="n">
        <x:v>0.6491</x:v>
      </x:c>
      <x:c r="H61" t="n">
        <x:v>0.0001</x:v>
      </x:c>
      <x:c r="I61" t="n">
        <x:v>0.000603</x:v>
      </x:c>
      <x:c r="J61" t="str">
        <x:v>Sim</x:v>
      </x:c>
      <x:c r="K61" t="str">
        <x:v>Associação observacional; não causal</x:v>
      </x:c>
    </x:row>
    <x:row r="62" ht="22" customHeight="1">
      <x:c r="A62" t="n">
        <x:v>4</x:v>
      </x:c>
      <x:c r="B62" t="str">
        <x:v>H_total_corrigido</x:v>
      </x:c>
      <x:c r="C62" t="str">
        <x:v>spearman</x:v>
      </x:c>
      <x:c r="D62" t="str">
        <x:v>H 09</x:v>
      </x:c>
      <x:c r="E62" t="str">
        <x:v>total_sem_bloco</x:v>
      </x:c>
      <x:c r="F62" t="n">
        <x:v>42</x:v>
      </x:c>
      <x:c r="G62" t="n">
        <x:v>0.649</x:v>
      </x:c>
      <x:c r="H62" t="n">
        <x:v>0.0001</x:v>
      </x:c>
      <x:c r="I62" t="n">
        <x:v>0.000603</x:v>
      </x:c>
      <x:c r="J62" t="str">
        <x:v>Sim</x:v>
      </x:c>
      <x:c r="K62" t="str">
        <x:v>Associação observacional; não causal</x:v>
      </x:c>
    </x:row>
    <x:row r="63" ht="22" customHeight="1">
      <x:c r="A63" t="n">
        <x:v>4</x:v>
      </x:c>
      <x:c r="B63" t="str">
        <x:v>intercomponentes</x:v>
      </x:c>
      <x:c r="C63" t="str">
        <x:v>spearman</x:v>
      </x:c>
      <x:c r="D63" t="str">
        <x:v>matematica_taxa</x:v>
      </x:c>
      <x:c r="E63" t="str">
        <x:v>fluencia_desconhecidas</x:v>
      </x:c>
      <x:c r="F63" t="n">
        <x:v>42</x:v>
      </x:c>
      <x:c r="G63" t="n">
        <x:v>0.6403</x:v>
      </x:c>
      <x:c r="H63" t="n">
        <x:v>0.0001</x:v>
      </x:c>
      <x:c r="I63" t="n">
        <x:v>0.000603</x:v>
      </x:c>
      <x:c r="J63" t="str">
        <x:v>Sim</x:v>
      </x:c>
      <x:c r="K63" t="str">
        <x:v>Associação observacional; não causal</x:v>
      </x:c>
    </x:row>
    <x:row r="64" ht="22" customHeight="1">
      <x:c r="A64" t="n">
        <x:v>4</x:v>
      </x:c>
      <x:c r="B64" t="str">
        <x:v>H_total_corrigido</x:v>
      </x:c>
      <x:c r="C64" t="str">
        <x:v>pearson</x:v>
      </x:c>
      <x:c r="D64" t="str">
        <x:v>H 05</x:v>
      </x:c>
      <x:c r="E64" t="str">
        <x:v>total_sem_bloco</x:v>
      </x:c>
      <x:c r="F64" t="n">
        <x:v>42</x:v>
      </x:c>
      <x:c r="G64" t="n">
        <x:v>0.633</x:v>
      </x:c>
      <x:c r="H64" t="n">
        <x:v>0.0001</x:v>
      </x:c>
      <x:c r="I64" t="n">
        <x:v>0.000603</x:v>
      </x:c>
      <x:c r="J64" t="str">
        <x:v>Sim</x:v>
      </x:c>
      <x:c r="K64" t="str">
        <x:v>Associação observacional; não causal</x:v>
      </x:c>
    </x:row>
    <x:row r="65" ht="22" customHeight="1">
      <x:c r="A65" t="n">
        <x:v>2</x:v>
      </x:c>
      <x:c r="B65" t="str">
        <x:v>H_total_corrigido</x:v>
      </x:c>
      <x:c r="C65" t="str">
        <x:v>spearman</x:v>
      </x:c>
      <x:c r="D65" t="str">
        <x:v>H 09</x:v>
      </x:c>
      <x:c r="E65" t="str">
        <x:v>total_sem_bloco</x:v>
      </x:c>
      <x:c r="F65" t="n">
        <x:v>28</x:v>
      </x:c>
      <x:c r="G65" t="n">
        <x:v>0.6304</x:v>
      </x:c>
      <x:c r="H65" t="n">
        <x:v>0.0001</x:v>
      </x:c>
      <x:c r="I65" t="n">
        <x:v>0.000603</x:v>
      </x:c>
      <x:c r="J65" t="str">
        <x:v>Sim</x:v>
      </x:c>
      <x:c r="K65" t="str">
        <x:v>Associação observacional; não causal</x:v>
      </x:c>
    </x:row>
    <x:row r="66" ht="22" customHeight="1">
      <x:c r="A66" t="n">
        <x:v>4</x:v>
      </x:c>
      <x:c r="B66" t="str">
        <x:v>intercomponentes</x:v>
      </x:c>
      <x:c r="C66" t="str">
        <x:v>pearson</x:v>
      </x:c>
      <x:c r="D66" t="str">
        <x:v>matematica_taxa</x:v>
      </x:c>
      <x:c r="E66" t="str">
        <x:v>fluencia_desconhecidas</x:v>
      </x:c>
      <x:c r="F66" t="n">
        <x:v>42</x:v>
      </x:c>
      <x:c r="G66" t="n">
        <x:v>0.6143</x:v>
      </x:c>
      <x:c r="H66" t="n">
        <x:v>0.0001</x:v>
      </x:c>
      <x:c r="I66" t="n">
        <x:v>0.000603</x:v>
      </x:c>
      <x:c r="J66" t="str">
        <x:v>Sim</x:v>
      </x:c>
      <x:c r="K66" t="str">
        <x:v>Associação observacional; não causal</x:v>
      </x:c>
    </x:row>
    <x:row r="67" ht="22" customHeight="1">
      <x:c r="A67" t="n">
        <x:v>4</x:v>
      </x:c>
      <x:c r="B67" t="str">
        <x:v>intercomponentes</x:v>
      </x:c>
      <x:c r="C67" t="str">
        <x:v>pearson</x:v>
      </x:c>
      <x:c r="D67" t="str">
        <x:v>leitura_taxa</x:v>
      </x:c>
      <x:c r="E67" t="str">
        <x:v>fluencia_desconhecidas</x:v>
      </x:c>
      <x:c r="F67" t="n">
        <x:v>42</x:v>
      </x:c>
      <x:c r="G67" t="n">
        <x:v>0.6115</x:v>
      </x:c>
      <x:c r="H67" t="n">
        <x:v>0.0001</x:v>
      </x:c>
      <x:c r="I67" t="n">
        <x:v>0.000603</x:v>
      </x:c>
      <x:c r="J67" t="str">
        <x:v>Sim</x:v>
      </x:c>
      <x:c r="K67" t="str">
        <x:v>Associação observacional; não causal</x:v>
      </x:c>
    </x:row>
    <x:row r="68" ht="22" customHeight="1">
      <x:c r="A68" t="n">
        <x:v>4</x:v>
      </x:c>
      <x:c r="B68" t="str">
        <x:v>intercomponentes</x:v>
      </x:c>
      <x:c r="C68" t="str">
        <x:v>pearson</x:v>
      </x:c>
      <x:c r="D68" t="str">
        <x:v>escrita_nota</x:v>
      </x:c>
      <x:c r="E68" t="str">
        <x:v>fluencia_palavras</x:v>
      </x:c>
      <x:c r="F68" t="n">
        <x:v>41</x:v>
      </x:c>
      <x:c r="G68" t="n">
        <x:v>0.6056</x:v>
      </x:c>
      <x:c r="H68" t="n">
        <x:v>0.0001</x:v>
      </x:c>
      <x:c r="I68" t="n">
        <x:v>0.000603</x:v>
      </x:c>
      <x:c r="J68" t="str">
        <x:v>Sim</x:v>
      </x:c>
      <x:c r="K68" t="str">
        <x:v>Associação observacional; não causal</x:v>
      </x:c>
    </x:row>
    <x:row r="69" ht="22" customHeight="1">
      <x:c r="A69" t="n">
        <x:v>4</x:v>
      </x:c>
      <x:c r="B69" t="str">
        <x:v>intercomponentes</x:v>
      </x:c>
      <x:c r="C69" t="str">
        <x:v>spearman</x:v>
      </x:c>
      <x:c r="D69" t="str">
        <x:v>leitura_taxa</x:v>
      </x:c>
      <x:c r="E69" t="str">
        <x:v>escrita_nota</x:v>
      </x:c>
      <x:c r="F69" t="n">
        <x:v>41</x:v>
      </x:c>
      <x:c r="G69" t="n">
        <x:v>0.604</x:v>
      </x:c>
      <x:c r="H69" t="n">
        <x:v>0.0001</x:v>
      </x:c>
      <x:c r="I69" t="n">
        <x:v>0.000603</x:v>
      </x:c>
      <x:c r="J69" t="str">
        <x:v>Sim</x:v>
      </x:c>
      <x:c r="K69" t="str">
        <x:v>Associação observacional; não causal</x:v>
      </x:c>
    </x:row>
    <x:row r="70" ht="22" customHeight="1">
      <x:c r="A70" t="n">
        <x:v>4</x:v>
      </x:c>
      <x:c r="B70" t="str">
        <x:v>H_total_corrigido</x:v>
      </x:c>
      <x:c r="C70" t="str">
        <x:v>spearman</x:v>
      </x:c>
      <x:c r="D70" t="str">
        <x:v>H 05</x:v>
      </x:c>
      <x:c r="E70" t="str">
        <x:v>total_sem_bloco</x:v>
      </x:c>
      <x:c r="F70" t="n">
        <x:v>42</x:v>
      </x:c>
      <x:c r="G70" t="n">
        <x:v>0.6012</x:v>
      </x:c>
      <x:c r="H70" t="n">
        <x:v>0.0001</x:v>
      </x:c>
      <x:c r="I70" t="n">
        <x:v>0.000603</x:v>
      </x:c>
      <x:c r="J70" t="str">
        <x:v>Sim</x:v>
      </x:c>
      <x:c r="K70" t="str">
        <x:v>Associação observacional; não causal</x:v>
      </x:c>
    </x:row>
    <x:row r="71" ht="22" customHeight="1">
      <x:c r="A71" t="n">
        <x:v>5</x:v>
      </x:c>
      <x:c r="B71" t="str">
        <x:v>H_total_corrigido</x:v>
      </x:c>
      <x:c r="C71" t="str">
        <x:v>spearman</x:v>
      </x:c>
      <x:c r="D71" t="str">
        <x:v>H 07</x:v>
      </x:c>
      <x:c r="E71" t="str">
        <x:v>total_sem_bloco</x:v>
      </x:c>
      <x:c r="F71" t="n">
        <x:v>54</x:v>
      </x:c>
      <x:c r="G71" t="n">
        <x:v>0.5639</x:v>
      </x:c>
      <x:c r="H71" t="n">
        <x:v>0.0001</x:v>
      </x:c>
      <x:c r="I71" t="n">
        <x:v>0.000603</x:v>
      </x:c>
      <x:c r="J71" t="str">
        <x:v>Sim</x:v>
      </x:c>
      <x:c r="K71" t="str">
        <x:v>Associação observacional; não causal</x:v>
      </x:c>
    </x:row>
    <x:row r="72" ht="22" customHeight="1">
      <x:c r="A72" t="n">
        <x:v>5</x:v>
      </x:c>
      <x:c r="B72" t="str">
        <x:v>H_total_corrigido</x:v>
      </x:c>
      <x:c r="C72" t="str">
        <x:v>spearman</x:v>
      </x:c>
      <x:c r="D72" t="str">
        <x:v>H 05</x:v>
      </x:c>
      <x:c r="E72" t="str">
        <x:v>total_sem_bloco</x:v>
      </x:c>
      <x:c r="F72" t="n">
        <x:v>54</x:v>
      </x:c>
      <x:c r="G72" t="n">
        <x:v>0.5319</x:v>
      </x:c>
      <x:c r="H72" t="n">
        <x:v>0.0001</x:v>
      </x:c>
      <x:c r="I72" t="n">
        <x:v>0.000603</x:v>
      </x:c>
      <x:c r="J72" t="str">
        <x:v>Sim</x:v>
      </x:c>
      <x:c r="K72" t="str">
        <x:v>Associação observacional; não causal</x:v>
      </x:c>
    </x:row>
    <x:row r="73" ht="22" customHeight="1">
      <x:c r="A73" t="n">
        <x:v>3</x:v>
      </x:c>
      <x:c r="B73" t="str">
        <x:v>H_total_corrigido</x:v>
      </x:c>
      <x:c r="C73" t="str">
        <x:v>pearson</x:v>
      </x:c>
      <x:c r="D73" t="str">
        <x:v>H 05</x:v>
      </x:c>
      <x:c r="E73" t="str">
        <x:v>total_sem_bloco</x:v>
      </x:c>
      <x:c r="F73" t="n">
        <x:v>24</x:v>
      </x:c>
      <x:c r="G73" t="n">
        <x:v>0.9765</x:v>
      </x:c>
      <x:c r="H73" t="n">
        <x:v>0.0002</x:v>
      </x:c>
      <x:c r="I73" t="n">
        <x:v>0.000911</x:v>
      </x:c>
      <x:c r="J73" t="str">
        <x:v>Sim</x:v>
      </x:c>
      <x:c r="K73" t="str">
        <x:v>Associação observacional; não causal</x:v>
      </x:c>
    </x:row>
    <x:row r="74" ht="22" customHeight="1">
      <x:c r="A74" t="n">
        <x:v>3</x:v>
      </x:c>
      <x:c r="B74" t="str">
        <x:v>H_total_corrigido</x:v>
      </x:c>
      <x:c r="C74" t="str">
        <x:v>pearson</x:v>
      </x:c>
      <x:c r="D74" t="str">
        <x:v>H 10</x:v>
      </x:c>
      <x:c r="E74" t="str">
        <x:v>total_sem_bloco</x:v>
      </x:c>
      <x:c r="F74" t="n">
        <x:v>24</x:v>
      </x:c>
      <x:c r="G74" t="n">
        <x:v>0.9043</x:v>
      </x:c>
      <x:c r="H74" t="n">
        <x:v>0.0002</x:v>
      </x:c>
      <x:c r="I74" t="n">
        <x:v>0.000911</x:v>
      </x:c>
      <x:c r="J74" t="str">
        <x:v>Sim</x:v>
      </x:c>
      <x:c r="K74" t="str">
        <x:v>Associação observacional; não causal</x:v>
      </x:c>
    </x:row>
    <x:row r="75" ht="22" customHeight="1">
      <x:c r="A75" t="n">
        <x:v>2</x:v>
      </x:c>
      <x:c r="B75" t="str">
        <x:v>H_total_corrigido</x:v>
      </x:c>
      <x:c r="C75" t="str">
        <x:v>pearson</x:v>
      </x:c>
      <x:c r="D75" t="str">
        <x:v>H 03</x:v>
      </x:c>
      <x:c r="E75" t="str">
        <x:v>total_sem_bloco</x:v>
      </x:c>
      <x:c r="F75" t="n">
        <x:v>28</x:v>
      </x:c>
      <x:c r="G75" t="n">
        <x:v>0.8729</x:v>
      </x:c>
      <x:c r="H75" t="n">
        <x:v>0.0002</x:v>
      </x:c>
      <x:c r="I75" t="n">
        <x:v>0.000911</x:v>
      </x:c>
      <x:c r="J75" t="str">
        <x:v>Sim</x:v>
      </x:c>
      <x:c r="K75" t="str">
        <x:v>Associação observacional; não causal</x:v>
      </x:c>
    </x:row>
    <x:row r="76" ht="22" customHeight="1">
      <x:c r="A76" t="n">
        <x:v>3</x:v>
      </x:c>
      <x:c r="B76" t="str">
        <x:v>H_total_corrigido</x:v>
      </x:c>
      <x:c r="C76" t="str">
        <x:v>pearson</x:v>
      </x:c>
      <x:c r="D76" t="str">
        <x:v>H 08</x:v>
      </x:c>
      <x:c r="E76" t="str">
        <x:v>total_sem_bloco</x:v>
      </x:c>
      <x:c r="F76" t="n">
        <x:v>24</x:v>
      </x:c>
      <x:c r="G76" t="n">
        <x:v>0.862</x:v>
      </x:c>
      <x:c r="H76" t="n">
        <x:v>0.0002</x:v>
      </x:c>
      <x:c r="I76" t="n">
        <x:v>0.000911</x:v>
      </x:c>
      <x:c r="J76" t="str">
        <x:v>Sim</x:v>
      </x:c>
      <x:c r="K76" t="str">
        <x:v>Associação observacional; não causal</x:v>
      </x:c>
    </x:row>
    <x:row r="77" ht="22" customHeight="1">
      <x:c r="A77" t="n">
        <x:v>2</x:v>
      </x:c>
      <x:c r="B77" t="str">
        <x:v>H_total_corrigido</x:v>
      </x:c>
      <x:c r="C77" t="str">
        <x:v>pearson</x:v>
      </x:c>
      <x:c r="D77" t="str">
        <x:v>H 10</x:v>
      </x:c>
      <x:c r="E77" t="str">
        <x:v>total_sem_bloco</x:v>
      </x:c>
      <x:c r="F77" t="n">
        <x:v>28</x:v>
      </x:c>
      <x:c r="G77" t="n">
        <x:v>0.856</x:v>
      </x:c>
      <x:c r="H77" t="n">
        <x:v>0.0002</x:v>
      </x:c>
      <x:c r="I77" t="n">
        <x:v>0.000911</x:v>
      </x:c>
      <x:c r="J77" t="str">
        <x:v>Sim</x:v>
      </x:c>
      <x:c r="K77" t="str">
        <x:v>Associação observacional; não causal</x:v>
      </x:c>
    </x:row>
    <x:row r="78" ht="22" customHeight="1">
      <x:c r="A78" t="n">
        <x:v>2</x:v>
      </x:c>
      <x:c r="B78" t="str">
        <x:v>H_total_corrigido</x:v>
      </x:c>
      <x:c r="C78" t="str">
        <x:v>pearson</x:v>
      </x:c>
      <x:c r="D78" t="str">
        <x:v>H 11</x:v>
      </x:c>
      <x:c r="E78" t="str">
        <x:v>total_sem_bloco</x:v>
      </x:c>
      <x:c r="F78" t="n">
        <x:v>28</x:v>
      </x:c>
      <x:c r="G78" t="n">
        <x:v>0.791</x:v>
      </x:c>
      <x:c r="H78" t="n">
        <x:v>0.0002</x:v>
      </x:c>
      <x:c r="I78" t="n">
        <x:v>0.000911</x:v>
      </x:c>
      <x:c r="J78" t="str">
        <x:v>Sim</x:v>
      </x:c>
      <x:c r="K78" t="str">
        <x:v>Associação observacional; não causal</x:v>
      </x:c>
    </x:row>
    <x:row r="79" ht="22" customHeight="1">
      <x:c r="A79" t="n">
        <x:v>3</x:v>
      </x:c>
      <x:c r="B79" t="str">
        <x:v>H_total_corrigido</x:v>
      </x:c>
      <x:c r="C79" t="str">
        <x:v>spearman</x:v>
      </x:c>
      <x:c r="D79" t="str">
        <x:v>H 06</x:v>
      </x:c>
      <x:c r="E79" t="str">
        <x:v>total_sem_bloco</x:v>
      </x:c>
      <x:c r="F79" t="n">
        <x:v>24</x:v>
      </x:c>
      <x:c r="G79" t="n">
        <x:v>0.7884</x:v>
      </x:c>
      <x:c r="H79" t="n">
        <x:v>0.0002</x:v>
      </x:c>
      <x:c r="I79" t="n">
        <x:v>0.000911</x:v>
      </x:c>
      <x:c r="J79" t="str">
        <x:v>Sim</x:v>
      </x:c>
      <x:c r="K79" t="str">
        <x:v>Associação observacional; não causal</x:v>
      </x:c>
    </x:row>
    <x:row r="80" ht="22" customHeight="1">
      <x:c r="A80" t="n">
        <x:v>2</x:v>
      </x:c>
      <x:c r="B80" t="str">
        <x:v>H_total_corrigido</x:v>
      </x:c>
      <x:c r="C80" t="str">
        <x:v>spearman</x:v>
      </x:c>
      <x:c r="D80" t="str">
        <x:v>H 08</x:v>
      </x:c>
      <x:c r="E80" t="str">
        <x:v>total_sem_bloco</x:v>
      </x:c>
      <x:c r="F80" t="n">
        <x:v>28</x:v>
      </x:c>
      <x:c r="G80" t="n">
        <x:v>0.7464</x:v>
      </x:c>
      <x:c r="H80" t="n">
        <x:v>0.0002</x:v>
      </x:c>
      <x:c r="I80" t="n">
        <x:v>0.000911</x:v>
      </x:c>
      <x:c r="J80" t="str">
        <x:v>Sim</x:v>
      </x:c>
      <x:c r="K80" t="str">
        <x:v>Associação observacional; não causal</x:v>
      </x:c>
    </x:row>
    <x:row r="81" ht="22" customHeight="1">
      <x:c r="A81" t="n">
        <x:v>2</x:v>
      </x:c>
      <x:c r="B81" t="str">
        <x:v>H_total_corrigido</x:v>
      </x:c>
      <x:c r="C81" t="str">
        <x:v>pearson</x:v>
      </x:c>
      <x:c r="D81" t="str">
        <x:v>H 02</x:v>
      </x:c>
      <x:c r="E81" t="str">
        <x:v>total_sem_bloco</x:v>
      </x:c>
      <x:c r="F81" t="n">
        <x:v>28</x:v>
      </x:c>
      <x:c r="G81" t="n">
        <x:v>0.7424</x:v>
      </x:c>
      <x:c r="H81" t="n">
        <x:v>0.0002</x:v>
      </x:c>
      <x:c r="I81" t="n">
        <x:v>0.000911</x:v>
      </x:c>
      <x:c r="J81" t="str">
        <x:v>Sim</x:v>
      </x:c>
      <x:c r="K81" t="str">
        <x:v>Associação observacional; não causal</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72" hidden="0" customWidth="1"/>
  </x:cols>
  <x:sheetData>
    <x:row r="1" ht="22" customHeight="1">
      <x:c r="A1" s="4" t="str">
        <x:v>Ano</x:v>
      </x:c>
      <x:c r="B1" s="4" t="str">
        <x:v>Componente</x:v>
      </x:c>
      <x:c r="C1" s="4" t="str">
        <x:v>Tipo</x:v>
      </x:c>
      <x:c r="D1" s="4" t="str">
        <x:v>Grupo</x:v>
      </x:c>
      <x:c r="E1" s="4" t="str">
        <x:v>N</x:v>
      </x:c>
      <x:c r="F1" s="4" t="str">
        <x:v>Validação</x:v>
      </x:c>
      <x:c r="G1" s="4" t="str">
        <x:v>K</x:v>
      </x:c>
      <x:c r="H1" s="4" t="str">
        <x:v>Silhueta média</x:v>
      </x:c>
      <x:c r="I1" s="4" t="str">
        <x:v>Jaccard médio</x:v>
      </x:c>
      <x:c r="J1" s="4" t="str">
        <x:v>Descrição pedagógica</x:v>
      </x:c>
    </x:row>
    <x:row r="2" ht="22" customHeight="1">
      <x:c r="A2" t="n">
        <x:v>1</x:v>
      </x:c>
      <x:c r="B2" t="str">
        <x:v>LEITURA</x:v>
      </x:c>
      <x:c r="C2" t="str">
        <x:v>grupo por regra pedagógica</x:v>
      </x:c>
      <x:c r="D2" t="str">
        <x:v>abaixo_meta_B</x:v>
      </x:c>
      <x:c r="E2" t="n">
        <x:v>15</x:v>
      </x:c>
      <x:c r="F2" t="str">
        <x:v>agregado_local_revisao</x:v>
      </x:c>
      <x:c r="G2" t="str"/>
      <x:c r="H2" t="str"/>
      <x:c r="I2" t="str"/>
      <x:c r="J2" t="str">
        <x:v>Fraquezas: H 04, H 07, H 05 | Forças: H 09, H 06, H 08 | Não confundir Meta B com classificação CAEd</x:v>
      </x:c>
    </x:row>
    <x:row r="3" ht="22" customHeight="1">
      <x:c r="A3" t="n">
        <x:v>1</x:v>
      </x:c>
      <x:c r="B3" t="str">
        <x:v>LEITURA</x:v>
      </x:c>
      <x:c r="C3" t="str">
        <x:v>grupo por regra pedagógica</x:v>
      </x:c>
      <x:c r="D3" t="str">
        <x:v>atinge_meta_B</x:v>
      </x:c>
      <x:c r="E3" t="n">
        <x:v>9</x:v>
      </x:c>
      <x:c r="F3" t="str">
        <x:v>agregado_local_revisao</x:v>
      </x:c>
      <x:c r="G3" t="str"/>
      <x:c r="H3" t="str"/>
      <x:c r="I3" t="str"/>
      <x:c r="J3" t="str">
        <x:v>Fraquezas: H 04, H 05, H 08 | Forças: H 01, H 02, H 09 | Não confundir Meta B com classificação CAEd</x:v>
      </x:c>
    </x:row>
    <x:row r="4" ht="22" customHeight="1">
      <x:c r="A4" t="n">
        <x:v>1</x:v>
      </x:c>
      <x:c r="B4" t="str">
        <x:v>MATEMATICA</x:v>
      </x:c>
      <x:c r="C4" t="str">
        <x:v>grupo por regra pedagógica</x:v>
      </x:c>
      <x:c r="D4" t="str">
        <x:v>atinge_meta_B</x:v>
      </x:c>
      <x:c r="E4" t="n">
        <x:v>24</x:v>
      </x:c>
      <x:c r="F4" t="str">
        <x:v>agregado_local_revisao</x:v>
      </x:c>
      <x:c r="G4" t="str"/>
      <x:c r="H4" t="str"/>
      <x:c r="I4" t="str"/>
      <x:c r="J4" t="str">
        <x:v>Fraquezas: H 03, H 02, H 04 | Forças: H 01, H 05, H 06 | Não confundir Meta B com classificação CAEd</x:v>
      </x:c>
    </x:row>
    <x:row r="5" ht="22" customHeight="1">
      <x:c r="A5" t="n">
        <x:v>2</x:v>
      </x:c>
      <x:c r="B5" t="str">
        <x:v>LEITURA</x:v>
      </x:c>
      <x:c r="C5" t="str">
        <x:v>grupo por regra pedagógica</x:v>
      </x:c>
      <x:c r="D5" t="str">
        <x:v>abaixo_meta_B</x:v>
      </x:c>
      <x:c r="E5" t="n">
        <x:v>14</x:v>
      </x:c>
      <x:c r="F5" t="str">
        <x:v>agregado_local_revisao</x:v>
      </x:c>
      <x:c r="G5" t="str"/>
      <x:c r="H5" t="str"/>
      <x:c r="I5" t="str"/>
      <x:c r="J5" t="str">
        <x:v>Fraquezas: H 01, H 07, H 08 | Forças: H 09, H 03, H 11 | Não confundir Meta B com classificação CAEd</x:v>
      </x:c>
    </x:row>
    <x:row r="6" ht="22" customHeight="1">
      <x:c r="A6" t="n">
        <x:v>2</x:v>
      </x:c>
      <x:c r="B6" t="str">
        <x:v>LEITURA</x:v>
      </x:c>
      <x:c r="C6" t="str">
        <x:v>grupo por regra pedagógica</x:v>
      </x:c>
      <x:c r="D6" t="str">
        <x:v>atinge_meta_B</x:v>
      </x:c>
      <x:c r="E6" t="n">
        <x:v>14</x:v>
      </x:c>
      <x:c r="F6" t="str">
        <x:v>agregado_local_revisao</x:v>
      </x:c>
      <x:c r="G6" t="str"/>
      <x:c r="H6" t="str"/>
      <x:c r="I6" t="str"/>
      <x:c r="J6" t="str">
        <x:v>Fraquezas: H 01, H 07, H 08 | Forças: H 06, H 09, H 10 | Não confundir Meta B com classificação CAEd</x:v>
      </x:c>
    </x:row>
    <x:row r="7" ht="22" customHeight="1">
      <x:c r="A7" t="n">
        <x:v>2</x:v>
      </x:c>
      <x:c r="B7" t="str">
        <x:v>MATEMATICA</x:v>
      </x:c>
      <x:c r="C7" t="str">
        <x:v>grupo por regra pedagógica</x:v>
      </x:c>
      <x:c r="D7" t="str">
        <x:v>abaixo_meta_B</x:v>
      </x:c>
      <x:c r="E7" t="n">
        <x:v>13</x:v>
      </x:c>
      <x:c r="F7" t="str">
        <x:v>agregado_local_revisao</x:v>
      </x:c>
      <x:c r="G7" t="str"/>
      <x:c r="H7" t="str"/>
      <x:c r="I7" t="str"/>
      <x:c r="J7" t="str">
        <x:v>Fraquezas: H 06, H 07, H 09 | Forças: H 03, H 11, H 02 | Não confundir Meta B com classificação CAEd</x:v>
      </x:c>
    </x:row>
    <x:row r="8" ht="22" customHeight="1">
      <x:c r="A8" t="n">
        <x:v>2</x:v>
      </x:c>
      <x:c r="B8" t="str">
        <x:v>MATEMATICA</x:v>
      </x:c>
      <x:c r="C8" t="str">
        <x:v>grupo por regra pedagógica</x:v>
      </x:c>
      <x:c r="D8" t="str">
        <x:v>atinge_meta_B</x:v>
      </x:c>
      <x:c r="E8" t="n">
        <x:v>15</x:v>
      </x:c>
      <x:c r="F8" t="str">
        <x:v>agregado_local_revisao</x:v>
      </x:c>
      <x:c r="G8" t="str"/>
      <x:c r="H8" t="str"/>
      <x:c r="I8" t="str"/>
      <x:c r="J8" t="str">
        <x:v>Fraquezas: H 06, H 07, H 02 | Forças: H 03, H 11, H 10 | Não confundir Meta B com classificação CAEd</x:v>
      </x:c>
    </x:row>
    <x:row r="9" ht="22" customHeight="1">
      <x:c r="A9" t="n">
        <x:v>3</x:v>
      </x:c>
      <x:c r="B9" t="str">
        <x:v>LEITURA</x:v>
      </x:c>
      <x:c r="C9" t="str">
        <x:v>grupo por regra pedagógica</x:v>
      </x:c>
      <x:c r="D9" t="str">
        <x:v>abaixo_meta_B</x:v>
      </x:c>
      <x:c r="E9" t="n">
        <x:v>6</x:v>
      </x:c>
      <x:c r="F9" t="str">
        <x:v>agregado_local_revisao</x:v>
      </x:c>
      <x:c r="G9" t="str"/>
      <x:c r="H9" t="str"/>
      <x:c r="I9" t="str"/>
      <x:c r="J9" t="str">
        <x:v>Fraquezas: H 03, H 05, H 09 | Forças: H 10, H 11, H 04 | Não confundir Meta B com classificação CAEd</x:v>
      </x:c>
    </x:row>
    <x:row r="10" ht="22" customHeight="1">
      <x:c r="A10" t="n">
        <x:v>3</x:v>
      </x:c>
      <x:c r="B10" t="str">
        <x:v>LEITURA</x:v>
      </x:c>
      <x:c r="C10" t="str">
        <x:v>grupo por regra pedagógica</x:v>
      </x:c>
      <x:c r="D10" t="str">
        <x:v>atinge_meta_B</x:v>
      </x:c>
      <x:c r="E10" t="n">
        <x:v>18</x:v>
      </x:c>
      <x:c r="F10" t="str">
        <x:v>agregado_local_revisao</x:v>
      </x:c>
      <x:c r="G10" t="str"/>
      <x:c r="H10" t="str"/>
      <x:c r="I10" t="str"/>
      <x:c r="J10" t="str">
        <x:v>Fraquezas: H 07, H 05, H 03 | Forças: H 01, H 02, H 08 | Não confundir Meta B com classificação CAEd</x:v>
      </x:c>
    </x:row>
    <x:row r="11" ht="22" customHeight="1">
      <x:c r="A11" t="n">
        <x:v>3</x:v>
      </x:c>
      <x:c r="B11" t="str">
        <x:v>MATEMATICA</x:v>
      </x:c>
      <x:c r="C11" t="str">
        <x:v>grupo por regra pedagógica</x:v>
      </x:c>
      <x:c r="D11" t="str">
        <x:v>abaixo_meta_B</x:v>
      </x:c>
      <x:c r="E11" t="n">
        <x:v>7</x:v>
      </x:c>
      <x:c r="F11" t="str">
        <x:v>agregado_local_revisao</x:v>
      </x:c>
      <x:c r="G11" t="str"/>
      <x:c r="H11" t="str"/>
      <x:c r="I11" t="str"/>
      <x:c r="J11" t="str">
        <x:v>Fraquezas: H 02, H 06, H 09 | Forças: H 03, H 04, H 05 | Não confundir Meta B com classificação CAEd</x:v>
      </x:c>
    </x:row>
    <x:row r="12" ht="22" customHeight="1">
      <x:c r="A12" t="n">
        <x:v>3</x:v>
      </x:c>
      <x:c r="B12" t="str">
        <x:v>MATEMATICA</x:v>
      </x:c>
      <x:c r="C12" t="str">
        <x:v>grupo por regra pedagógica</x:v>
      </x:c>
      <x:c r="D12" t="str">
        <x:v>atinge_meta_B</x:v>
      </x:c>
      <x:c r="E12" t="n">
        <x:v>17</x:v>
      </x:c>
      <x:c r="F12" t="str">
        <x:v>agregado_local_revisao</x:v>
      </x:c>
      <x:c r="G12" t="str"/>
      <x:c r="H12" t="str"/>
      <x:c r="I12" t="str"/>
      <x:c r="J12" t="str">
        <x:v>Fraquezas: H 02, H 03, H 08 | Forças: H 01, H 04, H 05 | Não confundir Meta B com classificação CAEd</x:v>
      </x:c>
    </x:row>
    <x:row r="13" ht="22" customHeight="1">
      <x:c r="A13" t="n">
        <x:v>4</x:v>
      </x:c>
      <x:c r="B13" t="str">
        <x:v>LEITURA</x:v>
      </x:c>
      <x:c r="C13" t="str">
        <x:v>cluster exploratório</x:v>
      </x:c>
      <x:c r="D13" t="str">
        <x:v>cluster_1</x:v>
      </x:c>
      <x:c r="E13" t="n">
        <x:v>11</x:v>
      </x:c>
      <x:c r="F13" t="str">
        <x:v>exploratorio_estavel</x:v>
      </x:c>
      <x:c r="G13" t="n">
        <x:v>2</x:v>
      </x:c>
      <x:c r="H13" t="n">
        <x:v>0.2185</x:v>
      </x:c>
      <x:c r="I13" t="n">
        <x:v>0.9304</x:v>
      </x:c>
      <x:c r="J13" t="str">
        <x:v>Revisão docente necessária; não é diagnóstico</x:v>
      </x:c>
    </x:row>
    <x:row r="14" ht="22" customHeight="1">
      <x:c r="A14" t="n">
        <x:v>4</x:v>
      </x:c>
      <x:c r="B14" t="str">
        <x:v>LEITURA</x:v>
      </x:c>
      <x:c r="C14" t="str">
        <x:v>cluster exploratório</x:v>
      </x:c>
      <x:c r="D14" t="str">
        <x:v>cluster_2</x:v>
      </x:c>
      <x:c r="E14" t="n">
        <x:v>31</x:v>
      </x:c>
      <x:c r="F14" t="str">
        <x:v>exploratorio_estavel</x:v>
      </x:c>
      <x:c r="G14" t="n">
        <x:v>2</x:v>
      </x:c>
      <x:c r="H14" t="n">
        <x:v>0.3849</x:v>
      </x:c>
      <x:c r="I14" t="n">
        <x:v>0.9687</x:v>
      </x:c>
      <x:c r="J14" t="str">
        <x:v>Revisão docente necessária; não é diagnóstico</x:v>
      </x:c>
    </x:row>
    <x:row r="15" ht="22" customHeight="1">
      <x:c r="A15" t="n">
        <x:v>4</x:v>
      </x:c>
      <x:c r="B15" t="str">
        <x:v>LEITURA</x:v>
      </x:c>
      <x:c r="C15" t="str">
        <x:v>grupo por regra pedagógica</x:v>
      </x:c>
      <x:c r="D15" t="str">
        <x:v>abaixo_meta_B</x:v>
      </x:c>
      <x:c r="E15" t="n">
        <x:v>23</x:v>
      </x:c>
      <x:c r="F15" t="str">
        <x:v>agregado_local_revisao</x:v>
      </x:c>
      <x:c r="G15" t="str"/>
      <x:c r="H15" t="str"/>
      <x:c r="I15" t="str"/>
      <x:c r="J15" t="str">
        <x:v>Fraquezas: H 06, H 10, H 05 | Forças: H 01, H 07, H 03 | Não confundir Meta B com classificação CAEd</x:v>
      </x:c>
    </x:row>
    <x:row r="16" ht="22" customHeight="1">
      <x:c r="A16" t="n">
        <x:v>4</x:v>
      </x:c>
      <x:c r="B16" t="str">
        <x:v>LEITURA</x:v>
      </x:c>
      <x:c r="C16" t="str">
        <x:v>grupo por regra pedagógica</x:v>
      </x:c>
      <x:c r="D16" t="str">
        <x:v>atinge_meta_B</x:v>
      </x:c>
      <x:c r="E16" t="n">
        <x:v>19</x:v>
      </x:c>
      <x:c r="F16" t="str">
        <x:v>agregado_local_revisao</x:v>
      </x:c>
      <x:c r="G16" t="str"/>
      <x:c r="H16" t="str"/>
      <x:c r="I16" t="str"/>
      <x:c r="J16" t="str">
        <x:v>Fraquezas: H 04, H 06, H 13 | Forças: H 03, H 07, H 08 | Não confundir Meta B com classificação CAEd</x:v>
      </x:c>
    </x:row>
    <x:row r="17" ht="22" customHeight="1">
      <x:c r="A17" t="n">
        <x:v>4</x:v>
      </x:c>
      <x:c r="B17" t="str">
        <x:v>MATEMATICA</x:v>
      </x:c>
      <x:c r="C17" t="str">
        <x:v>grupo por regra pedagógica</x:v>
      </x:c>
      <x:c r="D17" t="str">
        <x:v>abaixo_meta_B</x:v>
      </x:c>
      <x:c r="E17" t="n">
        <x:v>28</x:v>
      </x:c>
      <x:c r="F17" t="str">
        <x:v>agregado_local_revisao</x:v>
      </x:c>
      <x:c r="G17" t="str"/>
      <x:c r="H17" t="str"/>
      <x:c r="I17" t="str"/>
      <x:c r="J17" t="str">
        <x:v>Fraquezas: H 10, H 15, H 03 | Forças: H 08, H 02, H 14 | Não confundir Meta B com classificação CAEd</x:v>
      </x:c>
    </x:row>
    <x:row r="18" ht="22" customHeight="1">
      <x:c r="A18" t="n">
        <x:v>4</x:v>
      </x:c>
      <x:c r="B18" t="str">
        <x:v>MATEMATICA</x:v>
      </x:c>
      <x:c r="C18" t="str">
        <x:v>grupo por regra pedagógica</x:v>
      </x:c>
      <x:c r="D18" t="str">
        <x:v>atinge_meta_B</x:v>
      </x:c>
      <x:c r="E18" t="n">
        <x:v>14</x:v>
      </x:c>
      <x:c r="F18" t="str">
        <x:v>agregado_local_revisao</x:v>
      </x:c>
      <x:c r="G18" t="str"/>
      <x:c r="H18" t="str"/>
      <x:c r="I18" t="str"/>
      <x:c r="J18" t="str">
        <x:v>Fraquezas: H 06, H 10, H 03 | Forças: H 01, H 02, H 07 | Não confundir Meta B com classificação CAEd</x:v>
      </x:c>
    </x:row>
    <x:row r="19" ht="22" customHeight="1">
      <x:c r="A19" t="n">
        <x:v>5</x:v>
      </x:c>
      <x:c r="B19" t="str">
        <x:v>LEITURA</x:v>
      </x:c>
      <x:c r="C19" t="str">
        <x:v>grupo por regra pedagógica</x:v>
      </x:c>
      <x:c r="D19" t="str">
        <x:v>abaixo_meta_B</x:v>
      </x:c>
      <x:c r="E19" t="n">
        <x:v>28</x:v>
      </x:c>
      <x:c r="F19" t="str">
        <x:v>agregado_local_revisao</x:v>
      </x:c>
      <x:c r="G19" t="str"/>
      <x:c r="H19" t="str"/>
      <x:c r="I19" t="str"/>
      <x:c r="J19" t="str">
        <x:v>Fraquezas: H 12, H 14, H 10 | Forças: H 04, H 05, H 02 | Não confundir Meta B com classificação CAEd</x:v>
      </x:c>
    </x:row>
    <x:row r="20" ht="22" customHeight="1">
      <x:c r="A20" t="n">
        <x:v>5</x:v>
      </x:c>
      <x:c r="B20" t="str">
        <x:v>LEITURA</x:v>
      </x:c>
      <x:c r="C20" t="str">
        <x:v>grupo por regra pedagógica</x:v>
      </x:c>
      <x:c r="D20" t="str">
        <x:v>atinge_meta_B</x:v>
      </x:c>
      <x:c r="E20" t="n">
        <x:v>25</x:v>
      </x:c>
      <x:c r="F20" t="str">
        <x:v>agregado_local_revisao</x:v>
      </x:c>
      <x:c r="G20" t="str"/>
      <x:c r="H20" t="str"/>
      <x:c r="I20" t="str"/>
      <x:c r="J20" t="str">
        <x:v>Fraquezas: H 12, H 10, H 14 | Forças: H 04, H 05, H 09 | Não confundir Meta B com classificação CAEd</x:v>
      </x:c>
    </x:row>
    <x:row r="21" ht="22" customHeight="1">
      <x:c r="A21" t="n">
        <x:v>5</x:v>
      </x:c>
      <x:c r="B21" t="str">
        <x:v>LEITURA</x:v>
      </x:c>
      <x:c r="C21" t="str">
        <x:v>grupo por regra pedagógica</x:v>
      </x:c>
      <x:c r="D21" t="str">
        <x:v>cobertura_insuficiente</x:v>
      </x:c>
      <x:c r="E21" t="n">
        <x:v>0</x:v>
      </x:c>
      <x:c r="F21" t="str">
        <x:v>suprimido_n_menor_5</x:v>
      </x:c>
      <x:c r="G21" t="str"/>
      <x:c r="H21" t="str"/>
      <x:c r="I21" t="str"/>
      <x:c r="J21" t="str">
        <x:v>Fraquezas:  | Forças:  | Não confundir Meta B com classificação CAEd</x:v>
      </x:c>
    </x:row>
    <x:row r="22" ht="22" customHeight="1">
      <x:c r="A22" t="n">
        <x:v>5</x:v>
      </x:c>
      <x:c r="B22" t="str">
        <x:v>MATEMATICA</x:v>
      </x:c>
      <x:c r="C22" t="str">
        <x:v>grupo por regra pedagógica</x:v>
      </x:c>
      <x:c r="D22" t="str">
        <x:v>abaixo_meta_B</x:v>
      </x:c>
      <x:c r="E22" t="n">
        <x:v>38</x:v>
      </x:c>
      <x:c r="F22" t="str">
        <x:v>agregado_local_revisao</x:v>
      </x:c>
      <x:c r="G22" t="str"/>
      <x:c r="H22" t="str"/>
      <x:c r="I22" t="str"/>
      <x:c r="J22" t="str">
        <x:v>Fraquezas: H 05, H 14, H 15 | Forças: H 01, H 16, H 19 | Não confundir Meta B com classificação CAEd</x:v>
      </x:c>
    </x:row>
    <x:row r="23" ht="22" customHeight="1">
      <x:c r="A23" t="n">
        <x:v>5</x:v>
      </x:c>
      <x:c r="B23" t="str">
        <x:v>MATEMATICA</x:v>
      </x:c>
      <x:c r="C23" t="str">
        <x:v>grupo por regra pedagógica</x:v>
      </x:c>
      <x:c r="D23" t="str">
        <x:v>atinge_meta_B</x:v>
      </x:c>
      <x:c r="E23" t="n">
        <x:v>16</x:v>
      </x:c>
      <x:c r="F23" t="str">
        <x:v>agregado_local_revisao</x:v>
      </x:c>
      <x:c r="G23" t="str"/>
      <x:c r="H23" t="str"/>
      <x:c r="I23" t="str"/>
      <x:c r="J23" t="str">
        <x:v>Fraquezas: H 15, H 06, H 03 | Forças: H 07, H 09, H 10 | Não confundir Meta B com classificação CAEd</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52" hidden="0" customWidth="1"/>
  </x:cols>
  <x:sheetData>
    <x:row r="1" ht="22" customHeight="1">
      <x:c r="A1" s="4" t="str">
        <x:v>Ano</x:v>
      </x:c>
      <x:c r="B1" s="4" t="str">
        <x:v>Componente</x:v>
      </x:c>
      <x:c r="C1" s="4" t="str">
        <x:v>Hipótese</x:v>
      </x:c>
      <x:c r="D1" s="4" t="str">
        <x:v>Avaliados</x:v>
      </x:c>
      <x:c r="E1" s="4" t="str">
        <x:v>Adequados observados</x:v>
      </x:c>
      <x:c r="F1" s="4" t="str">
        <x:v>Adequados simulados</x:v>
      </x:c>
      <x:c r="G1" s="4" t="str">
        <x:v>Alvo</x:v>
      </x:c>
      <x:c r="H1" s="4" t="str">
        <x:v>Faltam após hipótese</x:v>
      </x:c>
      <x:c r="I1" s="4" t="str">
        <x:v>% simulado</x:v>
      </x:c>
      <x:c r="J1" s="4" t="str">
        <x:v>Entradas</x:v>
      </x:c>
      <x:c r="K1" s="4" t="str">
        <x:v>Saídas</x:v>
      </x:c>
      <x:c r="L1" s="4" t="str">
        <x:v>Nota</x:v>
      </x:c>
    </x:row>
    <x:row r="2" ht="22" customHeight="1">
      <x:c r="A2" t="n">
        <x:v>1</x:v>
      </x:c>
      <x:c r="B2" t="str">
        <x:v>LEITURA</x:v>
      </x:c>
      <x:c r="C2" t="str">
        <x:v>ganho_um</x:v>
      </x:c>
      <x:c r="D2" t="n">
        <x:v>24</x:v>
      </x:c>
      <x:c r="E2" t="n">
        <x:v>10</x:v>
      </x:c>
      <x:c r="F2" t="n">
        <x:v>11</x:v>
      </x:c>
      <x:c r="G2" t="n">
        <x:v>20</x:v>
      </x:c>
      <x:c r="H2" t="n">
        <x:v>9</x:v>
      </x:c>
      <x:c r="I2" t="n">
        <x:v>45.83</x:v>
      </x:c>
      <x:c r="J2" t="n">
        <x:v>1</x:v>
      </x:c>
      <x:c r="K2" t="n">
        <x:v>0</x:v>
      </x:c>
      <x:c r="L2" t="str">
        <x:v>Hipótese de sensibilidade; NÃO previsão longitudinal</x:v>
      </x:c>
    </x:row>
    <x:row r="3" ht="22" customHeight="1">
      <x:c r="A3" t="n">
        <x:v>1</x:v>
      </x:c>
      <x:c r="B3" t="str">
        <x:v>LEITURA</x:v>
      </x:c>
      <x:c r="C3" t="str">
        <x:v>ganho_um_perda_um</x:v>
      </x:c>
      <x:c r="D3" t="n">
        <x:v>24</x:v>
      </x:c>
      <x:c r="E3" t="n">
        <x:v>10</x:v>
      </x:c>
      <x:c r="F3" t="n">
        <x:v>10</x:v>
      </x:c>
      <x:c r="G3" t="n">
        <x:v>20</x:v>
      </x:c>
      <x:c r="H3" t="n">
        <x:v>10</x:v>
      </x:c>
      <x:c r="I3" t="n">
        <x:v>41.67</x:v>
      </x:c>
      <x:c r="J3" t="n">
        <x:v>1</x:v>
      </x:c>
      <x:c r="K3" t="n">
        <x:v>1</x:v>
      </x:c>
      <x:c r="L3" t="str">
        <x:v>Hipótese de sensibilidade; NÃO previsão longitudinal</x:v>
      </x:c>
    </x:row>
    <x:row r="4" ht="22" customHeight="1">
      <x:c r="A4" t="n">
        <x:v>1</x:v>
      </x:c>
      <x:c r="B4" t="str">
        <x:v>LEITURA</x:v>
      </x:c>
      <x:c r="C4" t="str">
        <x:v>perda_um</x:v>
      </x:c>
      <x:c r="D4" t="n">
        <x:v>24</x:v>
      </x:c>
      <x:c r="E4" t="n">
        <x:v>10</x:v>
      </x:c>
      <x:c r="F4" t="n">
        <x:v>9</x:v>
      </x:c>
      <x:c r="G4" t="n">
        <x:v>20</x:v>
      </x:c>
      <x:c r="H4" t="n">
        <x:v>11</x:v>
      </x:c>
      <x:c r="I4" t="n">
        <x:v>37.5</x:v>
      </x:c>
      <x:c r="J4" t="n">
        <x:v>0</x:v>
      </x:c>
      <x:c r="K4" t="n">
        <x:v>1</x:v>
      </x:c>
      <x:c r="L4" t="str">
        <x:v>Hipótese de sensibilidade; NÃO previsão longitudinal</x:v>
      </x:c>
    </x:row>
    <x:row r="5" ht="22" customHeight="1">
      <x:c r="A5" t="n">
        <x:v>1</x:v>
      </x:c>
      <x:c r="B5" t="str">
        <x:v>LEITURA</x:v>
      </x:c>
      <x:c r="C5" t="str">
        <x:v>sem_mudanca</x:v>
      </x:c>
      <x:c r="D5" t="n">
        <x:v>24</x:v>
      </x:c>
      <x:c r="E5" t="n">
        <x:v>10</x:v>
      </x:c>
      <x:c r="F5" t="n">
        <x:v>10</x:v>
      </x:c>
      <x:c r="G5" t="n">
        <x:v>20</x:v>
      </x:c>
      <x:c r="H5" t="n">
        <x:v>10</x:v>
      </x:c>
      <x:c r="I5" t="n">
        <x:v>41.67</x:v>
      </x:c>
      <x:c r="J5" t="n">
        <x:v>0</x:v>
      </x:c>
      <x:c r="K5" t="n">
        <x:v>0</x:v>
      </x:c>
      <x:c r="L5" t="str">
        <x:v>Hipótese de sensibilidade; NÃO previsão longitudinal</x:v>
      </x:c>
    </x:row>
    <x:row r="6" ht="22" customHeight="1">
      <x:c r="A6" t="n">
        <x:v>1</x:v>
      </x:c>
      <x:c r="B6" t="str">
        <x:v>MATEMATICA</x:v>
      </x:c>
      <x:c r="C6" t="str">
        <x:v>ganho_um</x:v>
      </x:c>
      <x:c r="D6" t="n">
        <x:v>24</x:v>
      </x:c>
      <x:c r="E6" t="n">
        <x:v>11</x:v>
      </x:c>
      <x:c r="F6" t="n">
        <x:v>12</x:v>
      </x:c>
      <x:c r="G6" t="n">
        <x:v>20</x:v>
      </x:c>
      <x:c r="H6" t="n">
        <x:v>8</x:v>
      </x:c>
      <x:c r="I6" t="n">
        <x:v>50</x:v>
      </x:c>
      <x:c r="J6" t="n">
        <x:v>1</x:v>
      </x:c>
      <x:c r="K6" t="n">
        <x:v>0</x:v>
      </x:c>
      <x:c r="L6" t="str">
        <x:v>Hipótese de sensibilidade; NÃO previsão longitudinal</x:v>
      </x:c>
    </x:row>
    <x:row r="7" ht="22" customHeight="1">
      <x:c r="A7" t="n">
        <x:v>1</x:v>
      </x:c>
      <x:c r="B7" t="str">
        <x:v>MATEMATICA</x:v>
      </x:c>
      <x:c r="C7" t="str">
        <x:v>ganho_um_perda_um</x:v>
      </x:c>
      <x:c r="D7" t="n">
        <x:v>24</x:v>
      </x:c>
      <x:c r="E7" t="n">
        <x:v>11</x:v>
      </x:c>
      <x:c r="F7" t="n">
        <x:v>11</x:v>
      </x:c>
      <x:c r="G7" t="n">
        <x:v>20</x:v>
      </x:c>
      <x:c r="H7" t="n">
        <x:v>9</x:v>
      </x:c>
      <x:c r="I7" t="n">
        <x:v>45.83</x:v>
      </x:c>
      <x:c r="J7" t="n">
        <x:v>1</x:v>
      </x:c>
      <x:c r="K7" t="n">
        <x:v>1</x:v>
      </x:c>
      <x:c r="L7" t="str">
        <x:v>Hipótese de sensibilidade; NÃO previsão longitudinal</x:v>
      </x:c>
    </x:row>
    <x:row r="8" ht="22" customHeight="1">
      <x:c r="A8" t="n">
        <x:v>1</x:v>
      </x:c>
      <x:c r="B8" t="str">
        <x:v>MATEMATICA</x:v>
      </x:c>
      <x:c r="C8" t="str">
        <x:v>perda_um</x:v>
      </x:c>
      <x:c r="D8" t="n">
        <x:v>24</x:v>
      </x:c>
      <x:c r="E8" t="n">
        <x:v>11</x:v>
      </x:c>
      <x:c r="F8" t="n">
        <x:v>10</x:v>
      </x:c>
      <x:c r="G8" t="n">
        <x:v>20</x:v>
      </x:c>
      <x:c r="H8" t="n">
        <x:v>10</x:v>
      </x:c>
      <x:c r="I8" t="n">
        <x:v>41.67</x:v>
      </x:c>
      <x:c r="J8" t="n">
        <x:v>0</x:v>
      </x:c>
      <x:c r="K8" t="n">
        <x:v>1</x:v>
      </x:c>
      <x:c r="L8" t="str">
        <x:v>Hipótese de sensibilidade; NÃO previsão longitudinal</x:v>
      </x:c>
    </x:row>
    <x:row r="9" ht="22" customHeight="1">
      <x:c r="A9" t="n">
        <x:v>1</x:v>
      </x:c>
      <x:c r="B9" t="str">
        <x:v>MATEMATICA</x:v>
      </x:c>
      <x:c r="C9" t="str">
        <x:v>sem_mudanca</x:v>
      </x:c>
      <x:c r="D9" t="n">
        <x:v>24</x:v>
      </x:c>
      <x:c r="E9" t="n">
        <x:v>11</x:v>
      </x:c>
      <x:c r="F9" t="n">
        <x:v>11</x:v>
      </x:c>
      <x:c r="G9" t="n">
        <x:v>20</x:v>
      </x:c>
      <x:c r="H9" t="n">
        <x:v>9</x:v>
      </x:c>
      <x:c r="I9" t="n">
        <x:v>45.83</x:v>
      </x:c>
      <x:c r="J9" t="n">
        <x:v>0</x:v>
      </x:c>
      <x:c r="K9" t="n">
        <x:v>0</x:v>
      </x:c>
      <x:c r="L9" t="str">
        <x:v>Hipótese de sensibilidade; NÃO previsão longitudinal</x:v>
      </x:c>
    </x:row>
    <x:row r="10" ht="22" customHeight="1">
      <x:c r="A10" t="n">
        <x:v>2</x:v>
      </x:c>
      <x:c r="B10" t="str">
        <x:v>LEITURA</x:v>
      </x:c>
      <x:c r="C10" t="str">
        <x:v>ganho_um</x:v>
      </x:c>
      <x:c r="D10" t="n">
        <x:v>28</x:v>
      </x:c>
      <x:c r="E10" t="n">
        <x:v>18</x:v>
      </x:c>
      <x:c r="F10" t="n">
        <x:v>19</x:v>
      </x:c>
      <x:c r="G10" t="n">
        <x:v>23</x:v>
      </x:c>
      <x:c r="H10" t="n">
        <x:v>4</x:v>
      </x:c>
      <x:c r="I10" t="n">
        <x:v>67.86</x:v>
      </x:c>
      <x:c r="J10" t="n">
        <x:v>1</x:v>
      </x:c>
      <x:c r="K10" t="n">
        <x:v>0</x:v>
      </x:c>
      <x:c r="L10" t="str">
        <x:v>Hipótese de sensibilidade; NÃO previsão longitudinal</x:v>
      </x:c>
    </x:row>
    <x:row r="11" ht="22" customHeight="1">
      <x:c r="A11" t="n">
        <x:v>2</x:v>
      </x:c>
      <x:c r="B11" t="str">
        <x:v>LEITURA</x:v>
      </x:c>
      <x:c r="C11" t="str">
        <x:v>ganho_um_perda_um</x:v>
      </x:c>
      <x:c r="D11" t="n">
        <x:v>28</x:v>
      </x:c>
      <x:c r="E11" t="n">
        <x:v>18</x:v>
      </x:c>
      <x:c r="F11" t="n">
        <x:v>18</x:v>
      </x:c>
      <x:c r="G11" t="n">
        <x:v>23</x:v>
      </x:c>
      <x:c r="H11" t="n">
        <x:v>5</x:v>
      </x:c>
      <x:c r="I11" t="n">
        <x:v>64.29</x:v>
      </x:c>
      <x:c r="J11" t="n">
        <x:v>1</x:v>
      </x:c>
      <x:c r="K11" t="n">
        <x:v>1</x:v>
      </x:c>
      <x:c r="L11" t="str">
        <x:v>Hipótese de sensibilidade; NÃO previsão longitudinal</x:v>
      </x:c>
    </x:row>
    <x:row r="12" ht="22" customHeight="1">
      <x:c r="A12" t="n">
        <x:v>2</x:v>
      </x:c>
      <x:c r="B12" t="str">
        <x:v>LEITURA</x:v>
      </x:c>
      <x:c r="C12" t="str">
        <x:v>perda_um</x:v>
      </x:c>
      <x:c r="D12" t="n">
        <x:v>28</x:v>
      </x:c>
      <x:c r="E12" t="n">
        <x:v>18</x:v>
      </x:c>
      <x:c r="F12" t="n">
        <x:v>17</x:v>
      </x:c>
      <x:c r="G12" t="n">
        <x:v>23</x:v>
      </x:c>
      <x:c r="H12" t="n">
        <x:v>6</x:v>
      </x:c>
      <x:c r="I12" t="n">
        <x:v>60.71</x:v>
      </x:c>
      <x:c r="J12" t="n">
        <x:v>0</x:v>
      </x:c>
      <x:c r="K12" t="n">
        <x:v>1</x:v>
      </x:c>
      <x:c r="L12" t="str">
        <x:v>Hipótese de sensibilidade; NÃO previsão longitudinal</x:v>
      </x:c>
    </x:row>
    <x:row r="13" ht="22" customHeight="1">
      <x:c r="A13" t="n">
        <x:v>2</x:v>
      </x:c>
      <x:c r="B13" t="str">
        <x:v>LEITURA</x:v>
      </x:c>
      <x:c r="C13" t="str">
        <x:v>sem_mudanca</x:v>
      </x:c>
      <x:c r="D13" t="n">
        <x:v>28</x:v>
      </x:c>
      <x:c r="E13" t="n">
        <x:v>18</x:v>
      </x:c>
      <x:c r="F13" t="n">
        <x:v>18</x:v>
      </x:c>
      <x:c r="G13" t="n">
        <x:v>23</x:v>
      </x:c>
      <x:c r="H13" t="n">
        <x:v>5</x:v>
      </x:c>
      <x:c r="I13" t="n">
        <x:v>64.29</x:v>
      </x:c>
      <x:c r="J13" t="n">
        <x:v>0</x:v>
      </x:c>
      <x:c r="K13" t="n">
        <x:v>0</x:v>
      </x:c>
      <x:c r="L13" t="str">
        <x:v>Hipótese de sensibilidade; NÃO previsão longitudinal</x:v>
      </x:c>
    </x:row>
    <x:row r="14" ht="22" customHeight="1">
      <x:c r="A14" t="n">
        <x:v>2</x:v>
      </x:c>
      <x:c r="B14" t="str">
        <x:v>MATEMATICA</x:v>
      </x:c>
      <x:c r="C14" t="str">
        <x:v>ganho_um</x:v>
      </x:c>
      <x:c r="D14" t="n">
        <x:v>28</x:v>
      </x:c>
      <x:c r="E14" t="n">
        <x:v>15</x:v>
      </x:c>
      <x:c r="F14" t="n">
        <x:v>16</x:v>
      </x:c>
      <x:c r="G14" t="n">
        <x:v>23</x:v>
      </x:c>
      <x:c r="H14" t="n">
        <x:v>7</x:v>
      </x:c>
      <x:c r="I14" t="n">
        <x:v>57.14</x:v>
      </x:c>
      <x:c r="J14" t="n">
        <x:v>1</x:v>
      </x:c>
      <x:c r="K14" t="n">
        <x:v>0</x:v>
      </x:c>
      <x:c r="L14" t="str">
        <x:v>Hipótese de sensibilidade; NÃO previsão longitudinal</x:v>
      </x:c>
    </x:row>
    <x:row r="15" ht="22" customHeight="1">
      <x:c r="A15" t="n">
        <x:v>2</x:v>
      </x:c>
      <x:c r="B15" t="str">
        <x:v>MATEMATICA</x:v>
      </x:c>
      <x:c r="C15" t="str">
        <x:v>ganho_um_perda_um</x:v>
      </x:c>
      <x:c r="D15" t="n">
        <x:v>28</x:v>
      </x:c>
      <x:c r="E15" t="n">
        <x:v>15</x:v>
      </x:c>
      <x:c r="F15" t="n">
        <x:v>15</x:v>
      </x:c>
      <x:c r="G15" t="n">
        <x:v>23</x:v>
      </x:c>
      <x:c r="H15" t="n">
        <x:v>8</x:v>
      </x:c>
      <x:c r="I15" t="n">
        <x:v>53.57</x:v>
      </x:c>
      <x:c r="J15" t="n">
        <x:v>1</x:v>
      </x:c>
      <x:c r="K15" t="n">
        <x:v>1</x:v>
      </x:c>
      <x:c r="L15" t="str">
        <x:v>Hipótese de sensibilidade; NÃO previsão longitudinal</x:v>
      </x:c>
    </x:row>
    <x:row r="16" ht="22" customHeight="1">
      <x:c r="A16" t="n">
        <x:v>2</x:v>
      </x:c>
      <x:c r="B16" t="str">
        <x:v>MATEMATICA</x:v>
      </x:c>
      <x:c r="C16" t="str">
        <x:v>perda_um</x:v>
      </x:c>
      <x:c r="D16" t="n">
        <x:v>28</x:v>
      </x:c>
      <x:c r="E16" t="n">
        <x:v>15</x:v>
      </x:c>
      <x:c r="F16" t="n">
        <x:v>14</x:v>
      </x:c>
      <x:c r="G16" t="n">
        <x:v>23</x:v>
      </x:c>
      <x:c r="H16" t="n">
        <x:v>9</x:v>
      </x:c>
      <x:c r="I16" t="n">
        <x:v>50</x:v>
      </x:c>
      <x:c r="J16" t="n">
        <x:v>0</x:v>
      </x:c>
      <x:c r="K16" t="n">
        <x:v>1</x:v>
      </x:c>
      <x:c r="L16" t="str">
        <x:v>Hipótese de sensibilidade; NÃO previsão longitudinal</x:v>
      </x:c>
    </x:row>
    <x:row r="17" ht="22" customHeight="1">
      <x:c r="A17" t="n">
        <x:v>2</x:v>
      </x:c>
      <x:c r="B17" t="str">
        <x:v>MATEMATICA</x:v>
      </x:c>
      <x:c r="C17" t="str">
        <x:v>sem_mudanca</x:v>
      </x:c>
      <x:c r="D17" t="n">
        <x:v>28</x:v>
      </x:c>
      <x:c r="E17" t="n">
        <x:v>15</x:v>
      </x:c>
      <x:c r="F17" t="n">
        <x:v>15</x:v>
      </x:c>
      <x:c r="G17" t="n">
        <x:v>23</x:v>
      </x:c>
      <x:c r="H17" t="n">
        <x:v>8</x:v>
      </x:c>
      <x:c r="I17" t="n">
        <x:v>53.57</x:v>
      </x:c>
      <x:c r="J17" t="n">
        <x:v>0</x:v>
      </x:c>
      <x:c r="K17" t="n">
        <x:v>0</x:v>
      </x:c>
      <x:c r="L17" t="str">
        <x:v>Hipótese de sensibilidade; NÃO previsão longitudinal</x:v>
      </x:c>
    </x:row>
    <x:row r="18" ht="22" customHeight="1">
      <x:c r="A18" t="n">
        <x:v>3</x:v>
      </x:c>
      <x:c r="B18" t="str">
        <x:v>LEITURA</x:v>
      </x:c>
      <x:c r="C18" t="str">
        <x:v>ganho_um</x:v>
      </x:c>
      <x:c r="D18" t="n">
        <x:v>24</x:v>
      </x:c>
      <x:c r="E18" t="n">
        <x:v>18</x:v>
      </x:c>
      <x:c r="F18" t="n">
        <x:v>19</x:v>
      </x:c>
      <x:c r="G18" t="n">
        <x:v>20</x:v>
      </x:c>
      <x:c r="H18" t="n">
        <x:v>1</x:v>
      </x:c>
      <x:c r="I18" t="n">
        <x:v>79.17</x:v>
      </x:c>
      <x:c r="J18" t="n">
        <x:v>1</x:v>
      </x:c>
      <x:c r="K18" t="n">
        <x:v>0</x:v>
      </x:c>
      <x:c r="L18" t="str">
        <x:v>Hipótese de sensibilidade; NÃO previsão longitudinal</x:v>
      </x:c>
    </x:row>
    <x:row r="19" ht="22" customHeight="1">
      <x:c r="A19" t="n">
        <x:v>3</x:v>
      </x:c>
      <x:c r="B19" t="str">
        <x:v>LEITURA</x:v>
      </x:c>
      <x:c r="C19" t="str">
        <x:v>ganho_um_perda_um</x:v>
      </x:c>
      <x:c r="D19" t="n">
        <x:v>24</x:v>
      </x:c>
      <x:c r="E19" t="n">
        <x:v>18</x:v>
      </x:c>
      <x:c r="F19" t="n">
        <x:v>18</x:v>
      </x:c>
      <x:c r="G19" t="n">
        <x:v>20</x:v>
      </x:c>
      <x:c r="H19" t="n">
        <x:v>2</x:v>
      </x:c>
      <x:c r="I19" t="n">
        <x:v>75</x:v>
      </x:c>
      <x:c r="J19" t="n">
        <x:v>1</x:v>
      </x:c>
      <x:c r="K19" t="n">
        <x:v>1</x:v>
      </x:c>
      <x:c r="L19" t="str">
        <x:v>Hipótese de sensibilidade; NÃO previsão longitudinal</x:v>
      </x:c>
    </x:row>
    <x:row r="20" ht="22" customHeight="1">
      <x:c r="A20" t="n">
        <x:v>3</x:v>
      </x:c>
      <x:c r="B20" t="str">
        <x:v>LEITURA</x:v>
      </x:c>
      <x:c r="C20" t="str">
        <x:v>perda_um</x:v>
      </x:c>
      <x:c r="D20" t="n">
        <x:v>24</x:v>
      </x:c>
      <x:c r="E20" t="n">
        <x:v>18</x:v>
      </x:c>
      <x:c r="F20" t="n">
        <x:v>17</x:v>
      </x:c>
      <x:c r="G20" t="n">
        <x:v>20</x:v>
      </x:c>
      <x:c r="H20" t="n">
        <x:v>3</x:v>
      </x:c>
      <x:c r="I20" t="n">
        <x:v>70.83</x:v>
      </x:c>
      <x:c r="J20" t="n">
        <x:v>0</x:v>
      </x:c>
      <x:c r="K20" t="n">
        <x:v>1</x:v>
      </x:c>
      <x:c r="L20" t="str">
        <x:v>Hipótese de sensibilidade; NÃO previsão longitudinal</x:v>
      </x:c>
    </x:row>
    <x:row r="21" ht="22" customHeight="1">
      <x:c r="A21" t="n">
        <x:v>3</x:v>
      </x:c>
      <x:c r="B21" t="str">
        <x:v>LEITURA</x:v>
      </x:c>
      <x:c r="C21" t="str">
        <x:v>sem_mudanca</x:v>
      </x:c>
      <x:c r="D21" t="n">
        <x:v>24</x:v>
      </x:c>
      <x:c r="E21" t="n">
        <x:v>18</x:v>
      </x:c>
      <x:c r="F21" t="n">
        <x:v>18</x:v>
      </x:c>
      <x:c r="G21" t="n">
        <x:v>20</x:v>
      </x:c>
      <x:c r="H21" t="n">
        <x:v>2</x:v>
      </x:c>
      <x:c r="I21" t="n">
        <x:v>75</x:v>
      </x:c>
      <x:c r="J21" t="n">
        <x:v>0</x:v>
      </x:c>
      <x:c r="K21" t="n">
        <x:v>0</x:v>
      </x:c>
      <x:c r="L21" t="str">
        <x:v>Hipótese de sensibilidade; NÃO previsão longitudinal</x:v>
      </x:c>
    </x:row>
    <x:row r="22" ht="22" customHeight="1">
      <x:c r="A22" t="n">
        <x:v>3</x:v>
      </x:c>
      <x:c r="B22" t="str">
        <x:v>MATEMATICA</x:v>
      </x:c>
      <x:c r="C22" t="str">
        <x:v>ganho_um</x:v>
      </x:c>
      <x:c r="D22" t="n">
        <x:v>24</x:v>
      </x:c>
      <x:c r="E22" t="n">
        <x:v>17</x:v>
      </x:c>
      <x:c r="F22" t="n">
        <x:v>18</x:v>
      </x:c>
      <x:c r="G22" t="n">
        <x:v>20</x:v>
      </x:c>
      <x:c r="H22" t="n">
        <x:v>2</x:v>
      </x:c>
      <x:c r="I22" t="n">
        <x:v>75</x:v>
      </x:c>
      <x:c r="J22" t="n">
        <x:v>1</x:v>
      </x:c>
      <x:c r="K22" t="n">
        <x:v>0</x:v>
      </x:c>
      <x:c r="L22" t="str">
        <x:v>Hipótese de sensibilidade; NÃO previsão longitudinal</x:v>
      </x:c>
    </x:row>
    <x:row r="23" ht="22" customHeight="1">
      <x:c r="A23" t="n">
        <x:v>3</x:v>
      </x:c>
      <x:c r="B23" t="str">
        <x:v>MATEMATICA</x:v>
      </x:c>
      <x:c r="C23" t="str">
        <x:v>ganho_um_perda_um</x:v>
      </x:c>
      <x:c r="D23" t="n">
        <x:v>24</x:v>
      </x:c>
      <x:c r="E23" t="n">
        <x:v>17</x:v>
      </x:c>
      <x:c r="F23" t="n">
        <x:v>17</x:v>
      </x:c>
      <x:c r="G23" t="n">
        <x:v>20</x:v>
      </x:c>
      <x:c r="H23" t="n">
        <x:v>3</x:v>
      </x:c>
      <x:c r="I23" t="n">
        <x:v>70.83</x:v>
      </x:c>
      <x:c r="J23" t="n">
        <x:v>1</x:v>
      </x:c>
      <x:c r="K23" t="n">
        <x:v>1</x:v>
      </x:c>
      <x:c r="L23" t="str">
        <x:v>Hipótese de sensibilidade; NÃO previsão longitudinal</x:v>
      </x:c>
    </x:row>
    <x:row r="24" ht="22" customHeight="1">
      <x:c r="A24" t="n">
        <x:v>3</x:v>
      </x:c>
      <x:c r="B24" t="str">
        <x:v>MATEMATICA</x:v>
      </x:c>
      <x:c r="C24" t="str">
        <x:v>perda_um</x:v>
      </x:c>
      <x:c r="D24" t="n">
        <x:v>24</x:v>
      </x:c>
      <x:c r="E24" t="n">
        <x:v>17</x:v>
      </x:c>
      <x:c r="F24" t="n">
        <x:v>16</x:v>
      </x:c>
      <x:c r="G24" t="n">
        <x:v>20</x:v>
      </x:c>
      <x:c r="H24" t="n">
        <x:v>4</x:v>
      </x:c>
      <x:c r="I24" t="n">
        <x:v>66.67</x:v>
      </x:c>
      <x:c r="J24" t="n">
        <x:v>0</x:v>
      </x:c>
      <x:c r="K24" t="n">
        <x:v>1</x:v>
      </x:c>
      <x:c r="L24" t="str">
        <x:v>Hipótese de sensibilidade; NÃO previsão longitudinal</x:v>
      </x:c>
    </x:row>
    <x:row r="25" ht="22" customHeight="1">
      <x:c r="A25" t="n">
        <x:v>3</x:v>
      </x:c>
      <x:c r="B25" t="str">
        <x:v>MATEMATICA</x:v>
      </x:c>
      <x:c r="C25" t="str">
        <x:v>sem_mudanca</x:v>
      </x:c>
      <x:c r="D25" t="n">
        <x:v>24</x:v>
      </x:c>
      <x:c r="E25" t="n">
        <x:v>17</x:v>
      </x:c>
      <x:c r="F25" t="n">
        <x:v>17</x:v>
      </x:c>
      <x:c r="G25" t="n">
        <x:v>20</x:v>
      </x:c>
      <x:c r="H25" t="n">
        <x:v>3</x:v>
      </x:c>
      <x:c r="I25" t="n">
        <x:v>70.83</x:v>
      </x:c>
      <x:c r="J25" t="n">
        <x:v>0</x:v>
      </x:c>
      <x:c r="K25" t="n">
        <x:v>0</x:v>
      </x:c>
      <x:c r="L25" t="str">
        <x:v>Hipótese de sensibilidade; NÃO previsão longitudinal</x:v>
      </x:c>
    </x:row>
    <x:row r="26" ht="22" customHeight="1">
      <x:c r="A26" t="n">
        <x:v>4</x:v>
      </x:c>
      <x:c r="B26" t="str">
        <x:v>LEITURA</x:v>
      </x:c>
      <x:c r="C26" t="str">
        <x:v>ganho_um</x:v>
      </x:c>
      <x:c r="D26" t="n">
        <x:v>42</x:v>
      </x:c>
      <x:c r="E26" t="n">
        <x:v>33</x:v>
      </x:c>
      <x:c r="F26" t="n">
        <x:v>34</x:v>
      </x:c>
      <x:c r="G26" t="n">
        <x:v>34</x:v>
      </x:c>
      <x:c r="H26" t="n">
        <x:v>0</x:v>
      </x:c>
      <x:c r="I26" t="n">
        <x:v>80.95</x:v>
      </x:c>
      <x:c r="J26" t="n">
        <x:v>1</x:v>
      </x:c>
      <x:c r="K26" t="n">
        <x:v>0</x:v>
      </x:c>
      <x:c r="L26" t="str">
        <x:v>Hipótese de sensibilidade; NÃO previsão longitudinal</x:v>
      </x:c>
    </x:row>
    <x:row r="27" ht="22" customHeight="1">
      <x:c r="A27" t="n">
        <x:v>4</x:v>
      </x:c>
      <x:c r="B27" t="str">
        <x:v>LEITURA</x:v>
      </x:c>
      <x:c r="C27" t="str">
        <x:v>ganho_um_perda_um</x:v>
      </x:c>
      <x:c r="D27" t="n">
        <x:v>42</x:v>
      </x:c>
      <x:c r="E27" t="n">
        <x:v>33</x:v>
      </x:c>
      <x:c r="F27" t="n">
        <x:v>33</x:v>
      </x:c>
      <x:c r="G27" t="n">
        <x:v>34</x:v>
      </x:c>
      <x:c r="H27" t="n">
        <x:v>1</x:v>
      </x:c>
      <x:c r="I27" t="n">
        <x:v>78.57</x:v>
      </x:c>
      <x:c r="J27" t="n">
        <x:v>1</x:v>
      </x:c>
      <x:c r="K27" t="n">
        <x:v>1</x:v>
      </x:c>
      <x:c r="L27" t="str">
        <x:v>Hipótese de sensibilidade; NÃO previsão longitudinal</x:v>
      </x:c>
    </x:row>
    <x:row r="28" ht="22" customHeight="1">
      <x:c r="A28" t="n">
        <x:v>4</x:v>
      </x:c>
      <x:c r="B28" t="str">
        <x:v>LEITURA</x:v>
      </x:c>
      <x:c r="C28" t="str">
        <x:v>perda_um</x:v>
      </x:c>
      <x:c r="D28" t="n">
        <x:v>42</x:v>
      </x:c>
      <x:c r="E28" t="n">
        <x:v>33</x:v>
      </x:c>
      <x:c r="F28" t="n">
        <x:v>32</x:v>
      </x:c>
      <x:c r="G28" t="n">
        <x:v>34</x:v>
      </x:c>
      <x:c r="H28" t="n">
        <x:v>2</x:v>
      </x:c>
      <x:c r="I28" t="n">
        <x:v>76.19</x:v>
      </x:c>
      <x:c r="J28" t="n">
        <x:v>0</x:v>
      </x:c>
      <x:c r="K28" t="n">
        <x:v>1</x:v>
      </x:c>
      <x:c r="L28" t="str">
        <x:v>Hipótese de sensibilidade; NÃO previsão longitudinal</x:v>
      </x:c>
    </x:row>
    <x:row r="29" ht="22" customHeight="1">
      <x:c r="A29" t="n">
        <x:v>4</x:v>
      </x:c>
      <x:c r="B29" t="str">
        <x:v>LEITURA</x:v>
      </x:c>
      <x:c r="C29" t="str">
        <x:v>sem_mudanca</x:v>
      </x:c>
      <x:c r="D29" t="n">
        <x:v>42</x:v>
      </x:c>
      <x:c r="E29" t="n">
        <x:v>33</x:v>
      </x:c>
      <x:c r="F29" t="n">
        <x:v>33</x:v>
      </x:c>
      <x:c r="G29" t="n">
        <x:v>34</x:v>
      </x:c>
      <x:c r="H29" t="n">
        <x:v>1</x:v>
      </x:c>
      <x:c r="I29" t="n">
        <x:v>78.57</x:v>
      </x:c>
      <x:c r="J29" t="n">
        <x:v>0</x:v>
      </x:c>
      <x:c r="K29" t="n">
        <x:v>0</x:v>
      </x:c>
      <x:c r="L29" t="str">
        <x:v>Hipótese de sensibilidade; NÃO previsão longitudinal</x:v>
      </x:c>
    </x:row>
    <x:row r="30" ht="22" customHeight="1">
      <x:c r="A30" t="n">
        <x:v>4</x:v>
      </x:c>
      <x:c r="B30" t="str">
        <x:v>MATEMATICA</x:v>
      </x:c>
      <x:c r="C30" t="str">
        <x:v>ganho_um</x:v>
      </x:c>
      <x:c r="D30" t="n">
        <x:v>42</x:v>
      </x:c>
      <x:c r="E30" t="n">
        <x:v>16</x:v>
      </x:c>
      <x:c r="F30" t="n">
        <x:v>17</x:v>
      </x:c>
      <x:c r="G30" t="n">
        <x:v>34</x:v>
      </x:c>
      <x:c r="H30" t="n">
        <x:v>17</x:v>
      </x:c>
      <x:c r="I30" t="n">
        <x:v>40.48</x:v>
      </x:c>
      <x:c r="J30" t="n">
        <x:v>1</x:v>
      </x:c>
      <x:c r="K30" t="n">
        <x:v>0</x:v>
      </x:c>
      <x:c r="L30" t="str">
        <x:v>Hipótese de sensibilidade; NÃO previsão longitudinal</x:v>
      </x:c>
    </x:row>
    <x:row r="31" ht="22" customHeight="1">
      <x:c r="A31" t="n">
        <x:v>4</x:v>
      </x:c>
      <x:c r="B31" t="str">
        <x:v>MATEMATICA</x:v>
      </x:c>
      <x:c r="C31" t="str">
        <x:v>ganho_um_perda_um</x:v>
      </x:c>
      <x:c r="D31" t="n">
        <x:v>42</x:v>
      </x:c>
      <x:c r="E31" t="n">
        <x:v>16</x:v>
      </x:c>
      <x:c r="F31" t="n">
        <x:v>16</x:v>
      </x:c>
      <x:c r="G31" t="n">
        <x:v>34</x:v>
      </x:c>
      <x:c r="H31" t="n">
        <x:v>18</x:v>
      </x:c>
      <x:c r="I31" t="n">
        <x:v>38.1</x:v>
      </x:c>
      <x:c r="J31" t="n">
        <x:v>1</x:v>
      </x:c>
      <x:c r="K31" t="n">
        <x:v>1</x:v>
      </x:c>
      <x:c r="L31" t="str">
        <x:v>Hipótese de sensibilidade; NÃO previsão longitudinal</x:v>
      </x:c>
    </x:row>
    <x:row r="32" ht="22" customHeight="1">
      <x:c r="A32" t="n">
        <x:v>4</x:v>
      </x:c>
      <x:c r="B32" t="str">
        <x:v>MATEMATICA</x:v>
      </x:c>
      <x:c r="C32" t="str">
        <x:v>perda_um</x:v>
      </x:c>
      <x:c r="D32" t="n">
        <x:v>42</x:v>
      </x:c>
      <x:c r="E32" t="n">
        <x:v>16</x:v>
      </x:c>
      <x:c r="F32" t="n">
        <x:v>15</x:v>
      </x:c>
      <x:c r="G32" t="n">
        <x:v>34</x:v>
      </x:c>
      <x:c r="H32" t="n">
        <x:v>19</x:v>
      </x:c>
      <x:c r="I32" t="n">
        <x:v>35.71</x:v>
      </x:c>
      <x:c r="J32" t="n">
        <x:v>0</x:v>
      </x:c>
      <x:c r="K32" t="n">
        <x:v>1</x:v>
      </x:c>
      <x:c r="L32" t="str">
        <x:v>Hipótese de sensibilidade; NÃO previsão longitudinal</x:v>
      </x:c>
    </x:row>
    <x:row r="33" ht="22" customHeight="1">
      <x:c r="A33" t="n">
        <x:v>4</x:v>
      </x:c>
      <x:c r="B33" t="str">
        <x:v>MATEMATICA</x:v>
      </x:c>
      <x:c r="C33" t="str">
        <x:v>sem_mudanca</x:v>
      </x:c>
      <x:c r="D33" t="n">
        <x:v>42</x:v>
      </x:c>
      <x:c r="E33" t="n">
        <x:v>16</x:v>
      </x:c>
      <x:c r="F33" t="n">
        <x:v>16</x:v>
      </x:c>
      <x:c r="G33" t="n">
        <x:v>34</x:v>
      </x:c>
      <x:c r="H33" t="n">
        <x:v>18</x:v>
      </x:c>
      <x:c r="I33" t="n">
        <x:v>38.1</x:v>
      </x:c>
      <x:c r="J33" t="n">
        <x:v>0</x:v>
      </x:c>
      <x:c r="K33" t="n">
        <x:v>0</x:v>
      </x:c>
      <x:c r="L33" t="str">
        <x:v>Hipótese de sensibilidade; NÃO previsão longitudinal</x:v>
      </x:c>
    </x:row>
    <x:row r="34" ht="22" customHeight="1">
      <x:c r="A34" t="n">
        <x:v>5</x:v>
      </x:c>
      <x:c r="B34" t="str">
        <x:v>LEITURA</x:v>
      </x:c>
      <x:c r="C34" t="str">
        <x:v>ganho_um</x:v>
      </x:c>
      <x:c r="D34" t="n">
        <x:v>53</x:v>
      </x:c>
      <x:c r="E34" t="n">
        <x:v>45</x:v>
      </x:c>
      <x:c r="F34" t="n">
        <x:v>46</x:v>
      </x:c>
      <x:c r="G34" t="n">
        <x:v>43</x:v>
      </x:c>
      <x:c r="H34" t="n">
        <x:v>0</x:v>
      </x:c>
      <x:c r="I34" t="n">
        <x:v>86.79</x:v>
      </x:c>
      <x:c r="J34" t="n">
        <x:v>1</x:v>
      </x:c>
      <x:c r="K34" t="n">
        <x:v>0</x:v>
      </x:c>
      <x:c r="L34" t="str">
        <x:v>Hipótese de sensibilidade; NÃO previsão longitudinal</x:v>
      </x:c>
    </x:row>
    <x:row r="35" ht="22" customHeight="1">
      <x:c r="A35" t="n">
        <x:v>5</x:v>
      </x:c>
      <x:c r="B35" t="str">
        <x:v>LEITURA</x:v>
      </x:c>
      <x:c r="C35" t="str">
        <x:v>ganho_um_perda_um</x:v>
      </x:c>
      <x:c r="D35" t="n">
        <x:v>53</x:v>
      </x:c>
      <x:c r="E35" t="n">
        <x:v>45</x:v>
      </x:c>
      <x:c r="F35" t="n">
        <x:v>45</x:v>
      </x:c>
      <x:c r="G35" t="n">
        <x:v>43</x:v>
      </x:c>
      <x:c r="H35" t="n">
        <x:v>0</x:v>
      </x:c>
      <x:c r="I35" t="n">
        <x:v>84.91</x:v>
      </x:c>
      <x:c r="J35" t="n">
        <x:v>1</x:v>
      </x:c>
      <x:c r="K35" t="n">
        <x:v>1</x:v>
      </x:c>
      <x:c r="L35" t="str">
        <x:v>Hipótese de sensibilidade; NÃO previsão longitudinal</x:v>
      </x:c>
    </x:row>
    <x:row r="36" ht="22" customHeight="1">
      <x:c r="A36" t="n">
        <x:v>5</x:v>
      </x:c>
      <x:c r="B36" t="str">
        <x:v>LEITURA</x:v>
      </x:c>
      <x:c r="C36" t="str">
        <x:v>perda_um</x:v>
      </x:c>
      <x:c r="D36" t="n">
        <x:v>53</x:v>
      </x:c>
      <x:c r="E36" t="n">
        <x:v>45</x:v>
      </x:c>
      <x:c r="F36" t="n">
        <x:v>44</x:v>
      </x:c>
      <x:c r="G36" t="n">
        <x:v>43</x:v>
      </x:c>
      <x:c r="H36" t="n">
        <x:v>0</x:v>
      </x:c>
      <x:c r="I36" t="n">
        <x:v>83.02</x:v>
      </x:c>
      <x:c r="J36" t="n">
        <x:v>0</x:v>
      </x:c>
      <x:c r="K36" t="n">
        <x:v>1</x:v>
      </x:c>
      <x:c r="L36" t="str">
        <x:v>Hipótese de sensibilidade; NÃO previsão longitudinal</x:v>
      </x:c>
    </x:row>
    <x:row r="37" ht="22" customHeight="1">
      <x:c r="A37" t="n">
        <x:v>5</x:v>
      </x:c>
      <x:c r="B37" t="str">
        <x:v>LEITURA</x:v>
      </x:c>
      <x:c r="C37" t="str">
        <x:v>sem_mudanca</x:v>
      </x:c>
      <x:c r="D37" t="n">
        <x:v>53</x:v>
      </x:c>
      <x:c r="E37" t="n">
        <x:v>45</x:v>
      </x:c>
      <x:c r="F37" t="n">
        <x:v>45</x:v>
      </x:c>
      <x:c r="G37" t="n">
        <x:v>43</x:v>
      </x:c>
      <x:c r="H37" t="n">
        <x:v>0</x:v>
      </x:c>
      <x:c r="I37" t="n">
        <x:v>84.91</x:v>
      </x:c>
      <x:c r="J37" t="n">
        <x:v>0</x:v>
      </x:c>
      <x:c r="K37" t="n">
        <x:v>0</x:v>
      </x:c>
      <x:c r="L37" t="str">
        <x:v>Hipótese de sensibilidade; NÃO previsão longitudinal</x:v>
      </x:c>
    </x:row>
    <x:row r="38" ht="22" customHeight="1">
      <x:c r="A38" t="n">
        <x:v>5</x:v>
      </x:c>
      <x:c r="B38" t="str">
        <x:v>MATEMATICA</x:v>
      </x:c>
      <x:c r="C38" t="str">
        <x:v>ganho_um</x:v>
      </x:c>
      <x:c r="D38" t="n">
        <x:v>54</x:v>
      </x:c>
      <x:c r="E38" t="n">
        <x:v>35</x:v>
      </x:c>
      <x:c r="F38" t="n">
        <x:v>36</x:v>
      </x:c>
      <x:c r="G38" t="n">
        <x:v>44</x:v>
      </x:c>
      <x:c r="H38" t="n">
        <x:v>8</x:v>
      </x:c>
      <x:c r="I38" t="n">
        <x:v>66.67</x:v>
      </x:c>
      <x:c r="J38" t="n">
        <x:v>1</x:v>
      </x:c>
      <x:c r="K38" t="n">
        <x:v>0</x:v>
      </x:c>
      <x:c r="L38" t="str">
        <x:v>Hipótese de sensibilidade; NÃO previsão longitudinal</x:v>
      </x:c>
    </x:row>
    <x:row r="39" ht="22" customHeight="1">
      <x:c r="A39" t="n">
        <x:v>5</x:v>
      </x:c>
      <x:c r="B39" t="str">
        <x:v>MATEMATICA</x:v>
      </x:c>
      <x:c r="C39" t="str">
        <x:v>ganho_um_perda_um</x:v>
      </x:c>
      <x:c r="D39" t="n">
        <x:v>54</x:v>
      </x:c>
      <x:c r="E39" t="n">
        <x:v>35</x:v>
      </x:c>
      <x:c r="F39" t="n">
        <x:v>35</x:v>
      </x:c>
      <x:c r="G39" t="n">
        <x:v>44</x:v>
      </x:c>
      <x:c r="H39" t="n">
        <x:v>9</x:v>
      </x:c>
      <x:c r="I39" t="n">
        <x:v>64.81</x:v>
      </x:c>
      <x:c r="J39" t="n">
        <x:v>1</x:v>
      </x:c>
      <x:c r="K39" t="n">
        <x:v>1</x:v>
      </x:c>
      <x:c r="L39" t="str">
        <x:v>Hipótese de sensibilidade; NÃO previsão longitudinal</x:v>
      </x:c>
    </x:row>
    <x:row r="40" ht="22" customHeight="1">
      <x:c r="A40" t="n">
        <x:v>5</x:v>
      </x:c>
      <x:c r="B40" t="str">
        <x:v>MATEMATICA</x:v>
      </x:c>
      <x:c r="C40" t="str">
        <x:v>perda_um</x:v>
      </x:c>
      <x:c r="D40" t="n">
        <x:v>54</x:v>
      </x:c>
      <x:c r="E40" t="n">
        <x:v>35</x:v>
      </x:c>
      <x:c r="F40" t="n">
        <x:v>34</x:v>
      </x:c>
      <x:c r="G40" t="n">
        <x:v>44</x:v>
      </x:c>
      <x:c r="H40" t="n">
        <x:v>10</x:v>
      </x:c>
      <x:c r="I40" t="n">
        <x:v>62.96</x:v>
      </x:c>
      <x:c r="J40" t="n">
        <x:v>0</x:v>
      </x:c>
      <x:c r="K40" t="n">
        <x:v>1</x:v>
      </x:c>
      <x:c r="L40" t="str">
        <x:v>Hipótese de sensibilidade; NÃO previsão longitudinal</x:v>
      </x:c>
    </x:row>
    <x:row r="41" ht="22" customHeight="1">
      <x:c r="A41" t="n">
        <x:v>5</x:v>
      </x:c>
      <x:c r="B41" t="str">
        <x:v>MATEMATICA</x:v>
      </x:c>
      <x:c r="C41" t="str">
        <x:v>sem_mudanca</x:v>
      </x:c>
      <x:c r="D41" t="n">
        <x:v>54</x:v>
      </x:c>
      <x:c r="E41" t="n">
        <x:v>35</x:v>
      </x:c>
      <x:c r="F41" t="n">
        <x:v>35</x:v>
      </x:c>
      <x:c r="G41" t="n">
        <x:v>44</x:v>
      </x:c>
      <x:c r="H41" t="n">
        <x:v>9</x:v>
      </x:c>
      <x:c r="I41" t="n">
        <x:v>64.81</x:v>
      </x:c>
      <x:c r="J41" t="n">
        <x:v>0</x:v>
      </x:c>
      <x:c r="K41" t="n">
        <x:v>0</x:v>
      </x:c>
      <x:c r="L41" t="str">
        <x:v>Hipótese de sensibilidade; NÃO previsão longitudinal</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2" customHeight="1">
      <x:c r="A1" s="4" t="str">
        <x:v>Ano</x:v>
      </x:c>
      <x:c r="B1" s="4" t="str">
        <x:v>Componente</x:v>
      </x:c>
      <x:c r="C1" s="4" t="str">
        <x:v>Alunos</x:v>
      </x:c>
      <x:c r="D1" s="4" t="str">
        <x:v>Células observadas</x:v>
      </x:c>
      <x:c r="E1" s="4" t="str">
        <x:v>Células ausentes</x:v>
      </x:c>
      <x:c r="F1" s="4" t="str">
        <x:v>Dimensão A</x:v>
      </x:c>
      <x:c r="G1" s="4" t="str">
        <x:v>Linhas B</x:v>
      </x:c>
      <x:c r="H1" s="4" t="str">
        <x:v>Colunas B</x:v>
      </x:c>
      <x:c r="I1" s="4" t="str">
        <x:v>Arestas A</x:v>
      </x:c>
      <x:c r="J1" s="4" t="str">
        <x:v>Arestas B</x:v>
      </x:c>
      <x:c r="K1" s="4" t="str">
        <x:v>Limite</x:v>
      </x:c>
    </x:row>
    <x:row r="2" ht="22" customHeight="1">
      <x:c r="A2" t="n">
        <x:v>1</x:v>
      </x:c>
      <x:c r="B2" t="str">
        <x:v>LEITURA</x:v>
      </x:c>
      <x:c r="C2" t="n">
        <x:v>24</x:v>
      </x:c>
      <x:c r="D2" t="n">
        <x:v>216</x:v>
      </x:c>
      <x:c r="E2" t="n">
        <x:v>0</x:v>
      </x:c>
      <x:c r="F2" t="n">
        <x:v>9</x:v>
      </x:c>
      <x:c r="G2" t="n">
        <x:v>9</x:v>
      </x:c>
      <x:c r="H2" t="n">
        <x:v>8</x:v>
      </x:c>
      <x:c r="I2" t="n">
        <x:v>2</x:v>
      </x:c>
      <x:c r="J2" t="n">
        <x:v>8</x:v>
      </x:c>
      <x:c r="K2" t="str">
        <x:v>Grafo CAEd–BNCC. Propagação de relações, não causalidade.</x:v>
      </x:c>
    </x:row>
    <x:row r="3" ht="22" customHeight="1">
      <x:c r="A3" t="n">
        <x:v>1</x:v>
      </x:c>
      <x:c r="B3" t="str">
        <x:v>LEITURA</x:v>
      </x:c>
      <x:c r="C3" t="n">
        <x:v>24</x:v>
      </x:c>
      <x:c r="D3" t="n">
        <x:v>216</x:v>
      </x:c>
      <x:c r="E3" t="n">
        <x:v>0</x:v>
      </x:c>
      <x:c r="F3" t="n">
        <x:v>9</x:v>
      </x:c>
      <x:c r="G3" t="n">
        <x:v>9</x:v>
      </x:c>
      <x:c r="H3" t="n">
        <x:v>8</x:v>
      </x:c>
      <x:c r="I3" t="n">
        <x:v>2</x:v>
      </x:c>
      <x:c r="J3" t="n">
        <x:v>9</x:v>
      </x:c>
      <x:c r="K3" t="str">
        <x:v>Grafo CAEd–BNCC. Propagação de relações, não causalidade.</x:v>
      </x:c>
    </x:row>
    <x:row r="4" ht="22" customHeight="1">
      <x:c r="A4" t="n">
        <x:v>1</x:v>
      </x:c>
      <x:c r="B4" t="str">
        <x:v>MATEMATICA</x:v>
      </x:c>
      <x:c r="C4" t="n">
        <x:v>24</x:v>
      </x:c>
      <x:c r="D4" t="n">
        <x:v>168</x:v>
      </x:c>
      <x:c r="E4" t="n">
        <x:v>0</x:v>
      </x:c>
      <x:c r="F4" t="n">
        <x:v>7</x:v>
      </x:c>
      <x:c r="G4" t="n">
        <x:v>7</x:v>
      </x:c>
      <x:c r="H4" t="n">
        <x:v>7</x:v>
      </x:c>
      <x:c r="I4" t="n">
        <x:v>0</x:v>
      </x:c>
      <x:c r="J4" t="n">
        <x:v>7</x:v>
      </x:c>
      <x:c r="K4" t="str">
        <x:v>Grafo CAEd–BNCC. Propagação de relações, não causalidade.</x:v>
      </x:c>
    </x:row>
    <x:row r="5" ht="22" customHeight="1">
      <x:c r="A5" t="n">
        <x:v>1</x:v>
      </x:c>
      <x:c r="B5" t="str">
        <x:v>MATEMATICA</x:v>
      </x:c>
      <x:c r="C5" t="n">
        <x:v>24</x:v>
      </x:c>
      <x:c r="D5" t="n">
        <x:v>168</x:v>
      </x:c>
      <x:c r="E5" t="n">
        <x:v>0</x:v>
      </x:c>
      <x:c r="F5" t="n">
        <x:v>7</x:v>
      </x:c>
      <x:c r="G5" t="n">
        <x:v>7</x:v>
      </x:c>
      <x:c r="H5" t="n">
        <x:v>7</x:v>
      </x:c>
      <x:c r="I5" t="n">
        <x:v>0</x:v>
      </x:c>
      <x:c r="J5" t="n">
        <x:v>7</x:v>
      </x:c>
      <x:c r="K5" t="str">
        <x:v>Grafo CAEd–BNCC. Propagação de relações, não causalidade.</x:v>
      </x:c>
    </x:row>
    <x:row r="6" ht="22" customHeight="1">
      <x:c r="A6" t="n">
        <x:v>2</x:v>
      </x:c>
      <x:c r="B6" t="str">
        <x:v>LEITURA</x:v>
      </x:c>
      <x:c r="C6" t="n">
        <x:v>28</x:v>
      </x:c>
      <x:c r="D6" t="n">
        <x:v>308</x:v>
      </x:c>
      <x:c r="E6" t="n">
        <x:v>0</x:v>
      </x:c>
      <x:c r="F6" t="n">
        <x:v>11</x:v>
      </x:c>
      <x:c r="G6" t="n">
        <x:v>11</x:v>
      </x:c>
      <x:c r="H6" t="n">
        <x:v>9</x:v>
      </x:c>
      <x:c r="I6" t="n">
        <x:v>4</x:v>
      </x:c>
      <x:c r="J6" t="n">
        <x:v>10</x:v>
      </x:c>
      <x:c r="K6" t="str">
        <x:v>Grafo CAEd–BNCC. Propagação de relações, não causalidade.</x:v>
      </x:c>
    </x:row>
    <x:row r="7" ht="22" customHeight="1">
      <x:c r="A7" t="n">
        <x:v>2</x:v>
      </x:c>
      <x:c r="B7" t="str">
        <x:v>LEITURA</x:v>
      </x:c>
      <x:c r="C7" t="n">
        <x:v>28</x:v>
      </x:c>
      <x:c r="D7" t="n">
        <x:v>308</x:v>
      </x:c>
      <x:c r="E7" t="n">
        <x:v>0</x:v>
      </x:c>
      <x:c r="F7" t="n">
        <x:v>11</x:v>
      </x:c>
      <x:c r="G7" t="n">
        <x:v>11</x:v>
      </x:c>
      <x:c r="H7" t="n">
        <x:v>9</x:v>
      </x:c>
      <x:c r="I7" t="n">
        <x:v>4</x:v>
      </x:c>
      <x:c r="J7" t="n">
        <x:v>11</x:v>
      </x:c>
      <x:c r="K7" t="str">
        <x:v>Grafo CAEd–BNCC. Propagação de relações, não causalidade.</x:v>
      </x:c>
    </x:row>
    <x:row r="8" ht="22" customHeight="1">
      <x:c r="A8" t="n">
        <x:v>2</x:v>
      </x:c>
      <x:c r="B8" t="str">
        <x:v>MATEMATICA</x:v>
      </x:c>
      <x:c r="C8" t="n">
        <x:v>28</x:v>
      </x:c>
      <x:c r="D8" t="n">
        <x:v>308</x:v>
      </x:c>
      <x:c r="E8" t="n">
        <x:v>0</x:v>
      </x:c>
      <x:c r="F8" t="n">
        <x:v>11</x:v>
      </x:c>
      <x:c r="G8" t="n">
        <x:v>11</x:v>
      </x:c>
      <x:c r="H8" t="n">
        <x:v>16</x:v>
      </x:c>
      <x:c r="I8" t="n">
        <x:v>2</x:v>
      </x:c>
      <x:c r="J8" t="n">
        <x:v>18</x:v>
      </x:c>
      <x:c r="K8" t="str">
        <x:v>Grafo CAEd–BNCC. Propagação de relações, não causalidade.</x:v>
      </x:c>
    </x:row>
    <x:row r="9" ht="22" customHeight="1">
      <x:c r="A9" t="n">
        <x:v>2</x:v>
      </x:c>
      <x:c r="B9" t="str">
        <x:v>MATEMATICA</x:v>
      </x:c>
      <x:c r="C9" t="n">
        <x:v>28</x:v>
      </x:c>
      <x:c r="D9" t="n">
        <x:v>308</x:v>
      </x:c>
      <x:c r="E9" t="n">
        <x:v>0</x:v>
      </x:c>
      <x:c r="F9" t="n">
        <x:v>11</x:v>
      </x:c>
      <x:c r="G9" t="n">
        <x:v>11</x:v>
      </x:c>
      <x:c r="H9" t="n">
        <x:v>16</x:v>
      </x:c>
      <x:c r="I9" t="n">
        <x:v>2</x:v>
      </x:c>
      <x:c r="J9" t="n">
        <x:v>18</x:v>
      </x:c>
      <x:c r="K9" t="str">
        <x:v>Grafo CAEd–BNCC. Propagação de relações, não causalidade.</x:v>
      </x:c>
    </x:row>
    <x:row r="10" ht="22" customHeight="1">
      <x:c r="A10" t="n">
        <x:v>3</x:v>
      </x:c>
      <x:c r="B10" t="str">
        <x:v>LEITURA</x:v>
      </x:c>
      <x:c r="C10" t="n">
        <x:v>24</x:v>
      </x:c>
      <x:c r="D10" t="n">
        <x:v>264</x:v>
      </x:c>
      <x:c r="E10" t="n">
        <x:v>0</x:v>
      </x:c>
      <x:c r="F10" t="n">
        <x:v>11</x:v>
      </x:c>
      <x:c r="G10" t="n">
        <x:v>11</x:v>
      </x:c>
      <x:c r="H10" t="n">
        <x:v>9</x:v>
      </x:c>
      <x:c r="I10" t="n">
        <x:v>4</x:v>
      </x:c>
      <x:c r="J10" t="n">
        <x:v>10</x:v>
      </x:c>
      <x:c r="K10" t="str">
        <x:v>Grafo CAEd–BNCC. Propagação de relações, não causalidade.</x:v>
      </x:c>
    </x:row>
    <x:row r="11" ht="22" customHeight="1">
      <x:c r="A11" t="n">
        <x:v>3</x:v>
      </x:c>
      <x:c r="B11" t="str">
        <x:v>LEITURA</x:v>
      </x:c>
      <x:c r="C11" t="n">
        <x:v>24</x:v>
      </x:c>
      <x:c r="D11" t="n">
        <x:v>264</x:v>
      </x:c>
      <x:c r="E11" t="n">
        <x:v>0</x:v>
      </x:c>
      <x:c r="F11" t="n">
        <x:v>11</x:v>
      </x:c>
      <x:c r="G11" t="n">
        <x:v>11</x:v>
      </x:c>
      <x:c r="H11" t="n">
        <x:v>9</x:v>
      </x:c>
      <x:c r="I11" t="n">
        <x:v>4</x:v>
      </x:c>
      <x:c r="J11" t="n">
        <x:v>11</x:v>
      </x:c>
      <x:c r="K11" t="str">
        <x:v>Grafo CAEd–BNCC. Propagação de relações, não causalidade.</x:v>
      </x:c>
    </x:row>
    <x:row r="12" ht="22" customHeight="1">
      <x:c r="A12" t="n">
        <x:v>3</x:v>
      </x:c>
      <x:c r="B12" t="str">
        <x:v>MATEMATICA</x:v>
      </x:c>
      <x:c r="C12" t="n">
        <x:v>24</x:v>
      </x:c>
      <x:c r="D12" t="n">
        <x:v>288</x:v>
      </x:c>
      <x:c r="E12" t="n">
        <x:v>0</x:v>
      </x:c>
      <x:c r="F12" t="n">
        <x:v>12</x:v>
      </x:c>
      <x:c r="G12" t="n">
        <x:v>12</x:v>
      </x:c>
      <x:c r="H12" t="n">
        <x:v>15</x:v>
      </x:c>
      <x:c r="I12" t="n">
        <x:v>8</x:v>
      </x:c>
      <x:c r="J12" t="n">
        <x:v>19</x:v>
      </x:c>
      <x:c r="K12" t="str">
        <x:v>Grafo CAEd–BNCC. Propagação de relações, não causalidade.</x:v>
      </x:c>
    </x:row>
    <x:row r="13" ht="22" customHeight="1">
      <x:c r="A13" t="n">
        <x:v>3</x:v>
      </x:c>
      <x:c r="B13" t="str">
        <x:v>MATEMATICA</x:v>
      </x:c>
      <x:c r="C13" t="n">
        <x:v>24</x:v>
      </x:c>
      <x:c r="D13" t="n">
        <x:v>288</x:v>
      </x:c>
      <x:c r="E13" t="n">
        <x:v>0</x:v>
      </x:c>
      <x:c r="F13" t="n">
        <x:v>12</x:v>
      </x:c>
      <x:c r="G13" t="n">
        <x:v>12</x:v>
      </x:c>
      <x:c r="H13" t="n">
        <x:v>15</x:v>
      </x:c>
      <x:c r="I13" t="n">
        <x:v>8</x:v>
      </x:c>
      <x:c r="J13" t="n">
        <x:v>19</x:v>
      </x:c>
      <x:c r="K13" t="str">
        <x:v>Grafo CAEd–BNCC. Propagação de relações, não causalidade.</x:v>
      </x:c>
    </x:row>
    <x:row r="14" ht="22" customHeight="1">
      <x:c r="A14" t="n">
        <x:v>4</x:v>
      </x:c>
      <x:c r="B14" t="str">
        <x:v>LEITURA</x:v>
      </x:c>
      <x:c r="C14" t="n">
        <x:v>42</x:v>
      </x:c>
      <x:c r="D14" t="n">
        <x:v>546</x:v>
      </x:c>
      <x:c r="E14" t="n">
        <x:v>0</x:v>
      </x:c>
      <x:c r="F14" t="n">
        <x:v>13</x:v>
      </x:c>
      <x:c r="G14" t="n">
        <x:v>13</x:v>
      </x:c>
      <x:c r="H14" t="n">
        <x:v>10</x:v>
      </x:c>
      <x:c r="I14" t="n">
        <x:v>6</x:v>
      </x:c>
      <x:c r="J14" t="n">
        <x:v>11</x:v>
      </x:c>
      <x:c r="K14" t="str">
        <x:v>Grafo CAEd–BNCC. Propagação de relações, não causalidade.</x:v>
      </x:c>
    </x:row>
    <x:row r="15" ht="22" customHeight="1">
      <x:c r="A15" t="n">
        <x:v>4</x:v>
      </x:c>
      <x:c r="B15" t="str">
        <x:v>LEITURA</x:v>
      </x:c>
      <x:c r="C15" t="n">
        <x:v>42</x:v>
      </x:c>
      <x:c r="D15" t="n">
        <x:v>546</x:v>
      </x:c>
      <x:c r="E15" t="n">
        <x:v>0</x:v>
      </x:c>
      <x:c r="F15" t="n">
        <x:v>13</x:v>
      </x:c>
      <x:c r="G15" t="n">
        <x:v>13</x:v>
      </x:c>
      <x:c r="H15" t="n">
        <x:v>10</x:v>
      </x:c>
      <x:c r="I15" t="n">
        <x:v>8</x:v>
      </x:c>
      <x:c r="J15" t="n">
        <x:v>13</x:v>
      </x:c>
      <x:c r="K15" t="str">
        <x:v>Grafo CAEd–BNCC. Propagação de relações, não causalidade.</x:v>
      </x:c>
    </x:row>
    <x:row r="16" ht="22" customHeight="1">
      <x:c r="A16" t="n">
        <x:v>4</x:v>
      </x:c>
      <x:c r="B16" t="str">
        <x:v>MATEMATICA</x:v>
      </x:c>
      <x:c r="C16" t="n">
        <x:v>42</x:v>
      </x:c>
      <x:c r="D16" t="n">
        <x:v>630</x:v>
      </x:c>
      <x:c r="E16" t="n">
        <x:v>0</x:v>
      </x:c>
      <x:c r="F16" t="n">
        <x:v>15</x:v>
      </x:c>
      <x:c r="G16" t="n">
        <x:v>15</x:v>
      </x:c>
      <x:c r="H16" t="n">
        <x:v>16</x:v>
      </x:c>
      <x:c r="I16" t="n">
        <x:v>10</x:v>
      </x:c>
      <x:c r="J16" t="n">
        <x:v>22</x:v>
      </x:c>
      <x:c r="K16" t="str">
        <x:v>Grafo CAEd–BNCC. Propagação de relações, não causalidade.</x:v>
      </x:c>
    </x:row>
    <x:row r="17" ht="22" customHeight="1">
      <x:c r="A17" t="n">
        <x:v>4</x:v>
      </x:c>
      <x:c r="B17" t="str">
        <x:v>MATEMATICA</x:v>
      </x:c>
      <x:c r="C17" t="n">
        <x:v>42</x:v>
      </x:c>
      <x:c r="D17" t="n">
        <x:v>630</x:v>
      </x:c>
      <x:c r="E17" t="n">
        <x:v>0</x:v>
      </x:c>
      <x:c r="F17" t="n">
        <x:v>15</x:v>
      </x:c>
      <x:c r="G17" t="n">
        <x:v>15</x:v>
      </x:c>
      <x:c r="H17" t="n">
        <x:v>16</x:v>
      </x:c>
      <x:c r="I17" t="n">
        <x:v>10</x:v>
      </x:c>
      <x:c r="J17" t="n">
        <x:v>22</x:v>
      </x:c>
      <x:c r="K17" t="str">
        <x:v>Grafo CAEd–BNCC. Propagação de relações, não causalidade.</x:v>
      </x:c>
    </x:row>
    <x:row r="18" ht="22" customHeight="1">
      <x:c r="A18" t="n">
        <x:v>5</x:v>
      </x:c>
      <x:c r="B18" t="str">
        <x:v>LEITURA</x:v>
      </x:c>
      <x:c r="C18" t="n">
        <x:v>54</x:v>
      </x:c>
      <x:c r="D18" t="n">
        <x:v>848</x:v>
      </x:c>
      <x:c r="E18" t="n">
        <x:v>16</x:v>
      </x:c>
      <x:c r="F18" t="n">
        <x:v>18</x:v>
      </x:c>
      <x:c r="G18" t="n">
        <x:v>18</x:v>
      </x:c>
      <x:c r="H18" t="n">
        <x:v>13</x:v>
      </x:c>
      <x:c r="I18" t="n">
        <x:v>2</x:v>
      </x:c>
      <x:c r="J18" t="n">
        <x:v>10</x:v>
      </x:c>
      <x:c r="K18" t="str">
        <x:v>Grafo CAEd–BNCC. Propagação de relações, não causalidade.</x:v>
      </x:c>
    </x:row>
    <x:row r="19" ht="22" customHeight="1">
      <x:c r="A19" t="n">
        <x:v>5</x:v>
      </x:c>
      <x:c r="B19" t="str">
        <x:v>LEITURA</x:v>
      </x:c>
      <x:c r="C19" t="n">
        <x:v>54</x:v>
      </x:c>
      <x:c r="D19" t="n">
        <x:v>848</x:v>
      </x:c>
      <x:c r="E19" t="n">
        <x:v>16</x:v>
      </x:c>
      <x:c r="F19" t="n">
        <x:v>18</x:v>
      </x:c>
      <x:c r="G19" t="n">
        <x:v>18</x:v>
      </x:c>
      <x:c r="H19" t="n">
        <x:v>13</x:v>
      </x:c>
      <x:c r="I19" t="n">
        <x:v>2</x:v>
      </x:c>
      <x:c r="J19" t="n">
        <x:v>13</x:v>
      </x:c>
      <x:c r="K19" t="str">
        <x:v>Grafo CAEd–BNCC. Propagação de relações, não causalidade.</x:v>
      </x:c>
    </x:row>
    <x:row r="20" ht="22" customHeight="1">
      <x:c r="A20" t="n">
        <x:v>5</x:v>
      </x:c>
      <x:c r="B20" t="str">
        <x:v>MATEMATICA</x:v>
      </x:c>
      <x:c r="C20" t="n">
        <x:v>54</x:v>
      </x:c>
      <x:c r="D20" t="n">
        <x:v>1026</x:v>
      </x:c>
      <x:c r="E20" t="n">
        <x:v>0</x:v>
      </x:c>
      <x:c r="F20" t="n">
        <x:v>22</x:v>
      </x:c>
      <x:c r="G20" t="n">
        <x:v>22</x:v>
      </x:c>
      <x:c r="H20" t="n">
        <x:v>19</x:v>
      </x:c>
      <x:c r="I20" t="n">
        <x:v>12</x:v>
      </x:c>
      <x:c r="J20" t="n">
        <x:v>23</x:v>
      </x:c>
      <x:c r="K20" t="str">
        <x:v>Grafo CAEd–BNCC. Propagação de relações, não causalidade.</x:v>
      </x:c>
    </x:row>
    <x:row r="21" ht="22" customHeight="1">
      <x:c r="A21" t="n">
        <x:v>5</x:v>
      </x:c>
      <x:c r="B21" t="str">
        <x:v>MATEMATICA</x:v>
      </x:c>
      <x:c r="C21" t="n">
        <x:v>54</x:v>
      </x:c>
      <x:c r="D21" t="n">
        <x:v>1026</x:v>
      </x:c>
      <x:c r="E21" t="n">
        <x:v>0</x:v>
      </x:c>
      <x:c r="F21" t="n">
        <x:v>22</x:v>
      </x:c>
      <x:c r="G21" t="n">
        <x:v>22</x:v>
      </x:c>
      <x:c r="H21" t="n">
        <x:v>19</x:v>
      </x:c>
      <x:c r="I21" t="n">
        <x:v>12</x:v>
      </x:c>
      <x:c r="J21" t="n">
        <x:v>23</x:v>
      </x:c>
      <x:c r="K21" t="str">
        <x:v>Grafo CAEd–BNCC. Propagação de relações, não causalidade.</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3" hidden="0" customWidth="1"/>
    <x:col min="2" max="2" width="75" hidden="0" customWidth="1"/>
    <x:col min="3" max="3" width="55" hidden="0" customWidth="1"/>
  </x:cols>
  <x:sheetData>
    <x:row r="1" ht="22" customHeight="1">
      <x:c r="A1" s="4" t="str">
        <x:v>Tema</x:v>
      </x:c>
      <x:c r="B1" s="4" t="str">
        <x:v>Regra operacional</x:v>
      </x:c>
      <x:c r="C1" s="4" t="str">
        <x:v>Evidência/Fonte</x:v>
      </x:c>
    </x:row>
    <x:row r="2" ht="22" customHeight="1">
      <x:c r="A2" t="str">
        <x:v>Escopo</x:v>
      </x:c>
      <x:c r="B2" t="str">
        <x:v>Airam Veras, CAEd Ciclo I de 2026, 1º–5º ano, Leitura e Matemática</x:v>
      </x:c>
      <x:c r="C2" t="str">
        <x:v>SPEC-AIRAM-001</x:v>
      </x:c>
    </x:row>
    <x:row r="3" ht="22" customHeight="1">
      <x:c r="A3" t="str">
        <x:v>Meta A</x:v>
      </x:c>
      <x:c r="B3" t="str">
        <x:v>&gt;=80% dos avaliados na classificação ORIGINAL Adequado do CAEd</x:v>
      </x:c>
      <x:c r="C3" t="str">
        <x:v>T05/metas_A</x:v>
      </x:c>
    </x:row>
    <x:row r="4" ht="22" customHeight="1">
      <x:c r="A4" t="str">
        <x:v>Meta B</x:v>
      </x:c>
      <x:c r="B4" t="str">
        <x:v>&gt;=80% de acertos por estudante se acertos/oportunidades forem observados</x:v>
      </x:c>
      <x:c r="C4" t="str">
        <x:v>T05, T09</x:v>
      </x:c>
    </x:row>
    <x:row r="5" ht="22" customHeight="1">
      <x:c r="A5" t="str">
        <x:v>Contraprova</x:v>
      </x:c>
      <x:c r="B5" t="str">
        <x:v>Preservar zero legítimo, ausência, denominadores, SHA256, exceções de arredondamento</x:v>
      </x:c>
      <x:c r="C5" t="str">
        <x:v>T05/contraprova</x:v>
      </x:c>
    </x:row>
    <x:row r="6" ht="22" customHeight="1">
      <x:c r="A6" t="str">
        <x:v>Correlações</x:v>
      </x:c>
      <x:c r="B6" t="str">
        <x:v>Pares válidos, Pearson e Spearman, permutação, multiplicidade/FDR, análise de sensibilidade</x:v>
      </x:c>
      <x:c r="C6" t="str">
        <x:v>T06</x:v>
      </x:c>
    </x:row>
    <x:row r="7" ht="22" customHeight="1">
      <x:c r="A7" t="str">
        <x:v>Grafo</x:v>
      </x:c>
      <x:c r="B7" t="str">
        <x:v>Vínculos CAEd–BNCC por ano, ciclo, ocorrência; sem imputar causalidade</x:v>
      </x:c>
      <x:c r="C7" t="str">
        <x:v>T04, T07</x:v>
      </x:c>
    </x:row>
    <x:row r="8" ht="22" customHeight="1">
      <x:c r="A8" t="str">
        <x:v>Clusters</x:v>
      </x:c>
      <x:c r="B8" t="str">
        <x:v>Somente um instrumento com clusters exploratórios estáveis: 4º ano Leitura, k=2</x:v>
      </x:c>
      <x:c r="C8" t="str">
        <x:v>T08</x:v>
      </x:c>
    </x:row>
    <x:row r="9" ht="22" customHeight="1">
      <x:c r="A9" t="str">
        <x:v>Demais perfis</x:v>
      </x:c>
      <x:c r="B9" t="str">
        <x:v>Grupos determinísticos por Meta B; NÃO chamados de clusters estatísticos</x:v>
      </x:c>
      <x:c r="C9" t="str">
        <x:v>T08</x:v>
      </x:c>
    </x:row>
    <x:row r="10" ht="22" customHeight="1">
      <x:c r="A10" t="str">
        <x:v>Projeções</x:v>
      </x:c>
      <x:c r="B10" t="str">
        <x:v>T09 produz cenários condicionais; não há projeção temporal validada com um ciclo</x:v>
      </x:c>
      <x:c r="C10" t="str">
        <x:v>T09/gate_temporal</x:v>
      </x:c>
    </x:row>
    <x:row r="11" ht="22" customHeight="1">
      <x:c r="A11" t="str">
        <x:v>Privacidade</x:v>
      </x:c>
      <x:c r="B11" t="str">
        <x:v>Sem nomes, pseudônimos ou linhas nominais neste workbook agregado</x:v>
      </x:c>
      <x:c r="C11" t="str">
        <x:v>Dados nominais permanecem em Drive restrito</x:v>
      </x:c>
    </x:row>
    <x:row r="12" ht="22" customHeight="1">
      <x:c r="A12" t="str">
        <x:v>Revisão</x:v>
      </x:c>
      <x:c r="B12" t="str">
        <x:v>Intervenções precisam de sondagem diagnóstica docente e reavaliação</x:v>
      </x:c>
      <x:c r="C12" t="str">
        <x:v>Gestão pedagógica</x:v>
      </x:c>
    </x:row>
    <x:row r="13" ht="22" customHeight="1">
      <x:c r="A13" t="str">
        <x:v>BNCC</x:v>
      </x:c>
      <x:c r="B13" t="str">
        <x:v>Mapeamento no recorte do commit 9c268978efa2aa250834c6a9edb6074432752838</x:v>
      </x:c>
      <x:c r="C13" t="str">
        <x:v>https://github.com/MarceloClaro/bncc-dados</x:v>
      </x:c>
    </x:row>
    <x:row r="14" ht="22" customHeight="1">
      <x:c r="A14" t="str">
        <x:v>Fonte T04</x:v>
      </x:c>
      <x:c r="B14" t="str">
        <x:v>Vínculos CAEd–BNCC com ressalvas semânticas e contextuais</x:v>
      </x:c>
      <x:c r="C14" t="str">
        <x:v>https://drive.google.com/file/d/1n8F2kDfidB84QrJTtrHgbhUHL2G311qV/view</x:v>
      </x:c>
    </x:row>
    <x:row r="15" ht="22" customHeight="1">
      <x:c r="A15" t="str">
        <x:v>Fonte T05</x:v>
      </x:c>
      <x:c r="B15" t="str">
        <x:v>Metas e contraprova</x:v>
      </x:c>
      <x:c r="C15" t="str">
        <x:v>https://drive.google.com/file/d/16eVTPVA7dcw777b6BaXqoDEoWD9_mfgi/view</x:v>
      </x:c>
    </x:row>
    <x:row r="16" ht="22" customHeight="1">
      <x:c r="A16" t="str">
        <x:v>Fonte T06</x:v>
      </x:c>
      <x:c r="B16" t="str">
        <x:v>Correlações e associações</x:v>
      </x:c>
      <x:c r="C16" t="str">
        <x:v>https://drive.google.com/file/d/1XW2ivmH47lsMu0cive8gtjfZ9oqkiigi/view</x:v>
      </x:c>
    </x:row>
    <x:row r="17" ht="22" customHeight="1">
      <x:c r="A17" t="str">
        <x:v>Fonte T07</x:v>
      </x:c>
      <x:c r="B17" t="str">
        <x:v>Convolução/propagação em grafo curricular</x:v>
      </x:c>
      <x:c r="C17" t="str">
        <x:v>https://drive.google.com/file/d/1919ih1qxQAtE_WyxA0gZJjsNiUQa2p9u/view</x:v>
      </x:c>
    </x:row>
    <x:row r="18" ht="22" customHeight="1">
      <x:c r="A18" t="str">
        <x:v>Fonte T08</x:v>
      </x:c>
      <x:c r="B18" t="str">
        <x:v>Grupos/estabilidade de clusters</x:v>
      </x:c>
      <x:c r="C18" t="str">
        <x:v>https://drive.google.com/file/d/1hCKZOAEqAUoLbxcsWGqVBkF86XIOQbx9/view</x:v>
      </x:c>
    </x:row>
    <x:row r="19" ht="22" customHeight="1">
      <x:c r="A19" t="str">
        <x:v>Fonte T09</x:v>
      </x:c>
      <x:c r="B19" t="str">
        <x:v>Cenários de sensibilidade</x:v>
      </x:c>
      <x:c r="C19" t="str">
        <x:v>https://drive.google.com/file/d/1cnq4H5b9kIRERW-8E9Hkx0b7CRY36iCf/view</x:v>
      </x:c>
    </x:row>
  </x:sheetData>
  <x:pageMargins left="0.7" right="0.7" top="0.75" bottom="0.75" header="0.3" footer="0.3"/>
</x:worksheet>
</file>